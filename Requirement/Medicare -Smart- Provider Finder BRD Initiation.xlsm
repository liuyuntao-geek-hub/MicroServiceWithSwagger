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73.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thomajd\Documents\Initiation\Medicare Smart Provider\"/>
    </mc:Choice>
  </mc:AlternateContent>
  <bookViews>
    <workbookView xWindow="240" yWindow="0" windowWidth="15060" windowHeight="7500" tabRatio="887" activeTab="1"/>
  </bookViews>
  <sheets>
    <sheet name="About" sheetId="24" r:id="rId1"/>
    <sheet name="Title Page" sheetId="21" r:id="rId2"/>
    <sheet name="GADCR" sheetId="3" r:id="rId3"/>
    <sheet name="Flows" sheetId="4" state="hidden" r:id="rId4"/>
    <sheet name="EPICS" sheetId="5" r:id="rId5"/>
    <sheet name="Action Items" sheetId="6" r:id="rId6"/>
    <sheet name="Change Log" sheetId="8" r:id="rId7"/>
    <sheet name="IS_Instructions" sheetId="10" state="hidden" r:id="rId8"/>
    <sheet name="IS_Requirements Mapping" sheetId="11" r:id="rId9"/>
    <sheet name="IS_Impacted_Systems_List" sheetId="12" r:id="rId10"/>
    <sheet name="BRD Convert" sheetId="23" r:id="rId11"/>
    <sheet name="OBA" sheetId="15" r:id="rId12"/>
    <sheet name="Reporting Questions" sheetId="33" r:id="rId13"/>
    <sheet name="Drop Down Lists" sheetId="9" state="hidden" r:id="rId14"/>
  </sheets>
  <functionGroups builtInGroupCount="18"/>
  <externalReferences>
    <externalReference r:id="rId15"/>
  </externalReferences>
  <definedNames>
    <definedName name="_xlnm._FilterDatabase" localSheetId="5" hidden="1">'Action Items'!$A$1:$G$1</definedName>
    <definedName name="_xlnm._FilterDatabase" localSheetId="6" hidden="1">'Change Log'!$A$1:$O$1</definedName>
    <definedName name="_xlnm._FilterDatabase" localSheetId="4" hidden="1">EPICS!$A$3:$L$3</definedName>
    <definedName name="_xlnm._FilterDatabase" localSheetId="9" hidden="1">IS_Impacted_Systems_List!$A$1:$E$478</definedName>
    <definedName name="_xlnm._FilterDatabase" localSheetId="8" hidden="1">'IS_Requirements Mapping'!$A$3:$F$3</definedName>
    <definedName name="_xlnm._FilterDatabase" localSheetId="11" hidden="1">OBA!$F$1:$IR$87</definedName>
    <definedName name="Comp1">OFFSET('Drop Down Lists'!$F$1,1,0,COUNTA('Drop Down Lists'!$F:$F)-1,1)</definedName>
    <definedName name="Comp2">OFFSET('Drop Down Lists'!$G$1,1,0,COUNTA('Drop Down Lists'!$G:$G)-1,1)</definedName>
    <definedName name="Comp3">'[1]Component &amp; Complexity'!$A$2:$A$20</definedName>
    <definedName name="Comp6">'[1]Component &amp; Complexity'!$B$2:$B$7</definedName>
    <definedName name="Critical_Guidelines_to_Follow_Title">About!$B$17</definedName>
    <definedName name="DetailRQType">OFFSET('Drop Down Lists'!$C$1,1,0,COUNTA('Drop Down Lists'!$C:$C)-1,1)</definedName>
    <definedName name="issueType">OFFSET('Drop Down Lists'!$B$1,1,0,COUNTA('Drop Down Lists'!$B:$B)-1,1)</definedName>
    <definedName name="JIRA_Formatting_Help">About!$B$22</definedName>
    <definedName name="Known_Issues_Title">About!$B$29</definedName>
    <definedName name="OBA">OFFSET(OBA!$E$2,0,0,COUNTA(OBA!$E:$E),1)</definedName>
    <definedName name="OBA_Domains">OFFSET(OBA!$E$2,0,0,COUNTIF(OBA!$I:$I, "OBA Domain Level 0"),1)</definedName>
    <definedName name="PlannedFor">OFFSET('Drop Down Lists'!$H$1,1,0,COUNTA('Drop Down Lists'!$H:$H)-1,1)</definedName>
    <definedName name="Regulatory">OFFSET('Drop Down Lists'!$A$1,1,0,COUNTA('Drop Down Lists'!$A:$A)-1,1)</definedName>
    <definedName name="Release_Notes_Title">About!$B$32</definedName>
    <definedName name="subdiv">OFFSET('Drop Down Lists'!$I$1,1,0,COUNTA('Drop Down Lists'!$I:$I)-1,1)</definedName>
    <definedName name="Systems">OFFSET(IS_Impacted_Systems_List!$A$2,0,0,COUNTA(IS_Impacted_Systems_List!$A:$A)-1,1)</definedName>
    <definedName name="terms" localSheetId="1">'Title Page'!$A$33:$C$42</definedName>
    <definedName name="Z_0FDF722F_6BE5_40CC_8643_96FA7475187B_.wvu.FilterData" localSheetId="4" hidden="1">EPICS!#REF!</definedName>
  </definedNames>
  <calcPr calcId="152511"/>
  <customWorkbookViews>
    <customWorkbookView name="ab24107 - Personal View" guid="{0FDF722F-6BE5-40CC-8643-96FA7475187B}" mergeInterval="0" personalView="1" maximized="1" xWindow="1" yWindow="1" windowWidth="1676" windowHeight="803" tabRatio="964" activeSheetId="3"/>
  </customWorkbookViews>
</workbook>
</file>

<file path=xl/calcChain.xml><?xml version="1.0" encoding="utf-8"?>
<calcChain xmlns="http://schemas.openxmlformats.org/spreadsheetml/2006/main">
  <c r="B24" i="21" l="1"/>
  <c r="B22" i="21"/>
  <c r="C10" i="21" l="1"/>
  <c r="C30" i="21" l="1"/>
  <c r="C29" i="21" l="1"/>
  <c r="B25" i="21" l="1"/>
  <c r="C31" i="21" l="1"/>
  <c r="C28" i="21"/>
  <c r="B17" i="21" l="1"/>
  <c r="B18" i="21"/>
  <c r="B19" i="21"/>
  <c r="B20" i="21"/>
  <c r="B23" i="21"/>
  <c r="B16" i="21" l="1"/>
  <c r="D87" i="15"/>
  <c r="J87" i="15" s="1"/>
  <c r="B87" i="15"/>
  <c r="D86" i="15"/>
  <c r="J86" i="15" s="1"/>
  <c r="B86" i="15"/>
  <c r="E86" i="15" s="1"/>
  <c r="J85" i="15"/>
  <c r="D85" i="15"/>
  <c r="B85" i="15"/>
  <c r="D84" i="15"/>
  <c r="J84" i="15" s="1"/>
  <c r="B84" i="15"/>
  <c r="C83" i="15"/>
  <c r="B83" i="15"/>
  <c r="E83" i="15" s="1"/>
  <c r="D27" i="15"/>
  <c r="C27" i="15"/>
  <c r="B27" i="15"/>
  <c r="E27" i="15" s="1"/>
  <c r="D26" i="15"/>
  <c r="C26" i="15"/>
  <c r="B26" i="15"/>
  <c r="E26" i="15" s="1"/>
  <c r="D25" i="15"/>
  <c r="J25" i="15" s="1"/>
  <c r="C25" i="15"/>
  <c r="B25" i="15"/>
  <c r="E25" i="15" s="1"/>
  <c r="D24" i="15"/>
  <c r="J24" i="15" s="1"/>
  <c r="B24" i="15"/>
  <c r="D23" i="15"/>
  <c r="J23" i="15" s="1"/>
  <c r="B23" i="15"/>
  <c r="E23" i="15" s="1"/>
  <c r="C22" i="15"/>
  <c r="B22" i="15"/>
  <c r="E22" i="15" s="1"/>
  <c r="D6" i="15"/>
  <c r="J6" i="15" s="1"/>
  <c r="B6" i="15"/>
  <c r="E6" i="15" s="1"/>
  <c r="D5" i="15"/>
  <c r="J5" i="15" s="1"/>
  <c r="B5" i="15"/>
  <c r="D4" i="15"/>
  <c r="J4" i="15" s="1"/>
  <c r="B4" i="15"/>
  <c r="E4" i="15" s="1"/>
  <c r="D3" i="15"/>
  <c r="J3" i="15" s="1"/>
  <c r="B3" i="15"/>
  <c r="C2" i="15"/>
  <c r="B2" i="15"/>
  <c r="E2" i="15" s="1"/>
  <c r="D12" i="15"/>
  <c r="B12" i="15"/>
  <c r="D11" i="15"/>
  <c r="B11" i="15"/>
  <c r="D10" i="15"/>
  <c r="J10" i="15" s="1"/>
  <c r="B10" i="15"/>
  <c r="D9" i="15"/>
  <c r="B9" i="15"/>
  <c r="D8" i="15"/>
  <c r="B8" i="15"/>
  <c r="C7" i="15"/>
  <c r="B7" i="15"/>
  <c r="E7" i="15" s="1"/>
  <c r="D16" i="15"/>
  <c r="J16" i="15" s="1"/>
  <c r="B16" i="15"/>
  <c r="E16" i="15" s="1"/>
  <c r="E15" i="15"/>
  <c r="D15" i="15"/>
  <c r="J15" i="15" s="1"/>
  <c r="B15" i="15"/>
  <c r="D14" i="15"/>
  <c r="J14" i="15" s="1"/>
  <c r="B14" i="15"/>
  <c r="C13" i="15"/>
  <c r="B13" i="15"/>
  <c r="D13" i="15" s="1"/>
  <c r="J13" i="15" s="1"/>
  <c r="J40" i="15"/>
  <c r="D40" i="15"/>
  <c r="C40" i="15"/>
  <c r="B40" i="15"/>
  <c r="E40" i="15" s="1"/>
  <c r="D39" i="15"/>
  <c r="J39" i="15" s="1"/>
  <c r="C39" i="15"/>
  <c r="B39" i="15"/>
  <c r="C38" i="15"/>
  <c r="B38" i="15"/>
  <c r="E38" i="15" s="1"/>
  <c r="J21" i="15"/>
  <c r="D21" i="15"/>
  <c r="B21" i="15"/>
  <c r="E21" i="15" s="1"/>
  <c r="J20" i="15"/>
  <c r="D20" i="15"/>
  <c r="B20" i="15"/>
  <c r="D19" i="15"/>
  <c r="J19" i="15" s="1"/>
  <c r="B19" i="15"/>
  <c r="D18" i="15"/>
  <c r="J18" i="15" s="1"/>
  <c r="B18" i="15"/>
  <c r="E18" i="15" s="1"/>
  <c r="C17" i="15"/>
  <c r="B17" i="15"/>
  <c r="D17" i="15" s="1"/>
  <c r="J17" i="15" s="1"/>
  <c r="J82" i="15"/>
  <c r="D82" i="15"/>
  <c r="B82" i="15"/>
  <c r="D81" i="15"/>
  <c r="J81" i="15" s="1"/>
  <c r="B81" i="15"/>
  <c r="J80" i="15"/>
  <c r="D80" i="15"/>
  <c r="B80" i="15"/>
  <c r="E80" i="15" s="1"/>
  <c r="D79" i="15"/>
  <c r="J79" i="15" s="1"/>
  <c r="B79" i="15"/>
  <c r="C78" i="15"/>
  <c r="B78" i="15"/>
  <c r="D61" i="15"/>
  <c r="J61" i="15" s="1"/>
  <c r="B61" i="15"/>
  <c r="D60" i="15"/>
  <c r="J60" i="15" s="1"/>
  <c r="B60" i="15"/>
  <c r="D59" i="15"/>
  <c r="J59" i="15" s="1"/>
  <c r="B59" i="15"/>
  <c r="D58" i="15"/>
  <c r="J58" i="15" s="1"/>
  <c r="B58" i="15"/>
  <c r="D57" i="15"/>
  <c r="J57" i="15" s="1"/>
  <c r="B57" i="15"/>
  <c r="D56" i="15"/>
  <c r="J56" i="15" s="1"/>
  <c r="B56" i="15"/>
  <c r="D55" i="15"/>
  <c r="J55" i="15" s="1"/>
  <c r="B55" i="15"/>
  <c r="D54" i="15"/>
  <c r="J54" i="15" s="1"/>
  <c r="B54" i="15"/>
  <c r="E53" i="15"/>
  <c r="C53" i="15"/>
  <c r="B53" i="15"/>
  <c r="D53" i="15" s="1"/>
  <c r="D74" i="15"/>
  <c r="B74" i="15"/>
  <c r="D73" i="15"/>
  <c r="B73" i="15"/>
  <c r="D72" i="15"/>
  <c r="B72" i="15"/>
  <c r="D71" i="15"/>
  <c r="B71" i="15"/>
  <c r="D70" i="15"/>
  <c r="B70" i="15"/>
  <c r="D69" i="15"/>
  <c r="B69" i="15"/>
  <c r="D68" i="15"/>
  <c r="B68" i="15"/>
  <c r="D67" i="15"/>
  <c r="J67" i="15" s="1"/>
  <c r="B67" i="15"/>
  <c r="D66" i="15"/>
  <c r="J66" i="15" s="1"/>
  <c r="B66" i="15"/>
  <c r="E66" i="15" s="1"/>
  <c r="D65" i="15"/>
  <c r="J65" i="15" s="1"/>
  <c r="B65" i="15"/>
  <c r="D64" i="15"/>
  <c r="J64" i="15" s="1"/>
  <c r="B64" i="15"/>
  <c r="D63" i="15"/>
  <c r="J63" i="15" s="1"/>
  <c r="B63" i="15"/>
  <c r="E62" i="15"/>
  <c r="D62" i="15"/>
  <c r="J62" i="15" s="1"/>
  <c r="C62" i="15"/>
  <c r="B62" i="15"/>
  <c r="D77" i="15"/>
  <c r="E77" i="15" s="1"/>
  <c r="B77" i="15"/>
  <c r="D76" i="15"/>
  <c r="B76" i="15"/>
  <c r="C75" i="15"/>
  <c r="B75" i="15"/>
  <c r="D75" i="15" s="1"/>
  <c r="J75" i="15" s="1"/>
  <c r="D52" i="15"/>
  <c r="J52" i="15" s="1"/>
  <c r="B52" i="15"/>
  <c r="D51" i="15"/>
  <c r="J51" i="15" s="1"/>
  <c r="B51" i="15"/>
  <c r="E51" i="15" s="1"/>
  <c r="C50" i="15"/>
  <c r="B50" i="15"/>
  <c r="D45" i="15"/>
  <c r="C45" i="15"/>
  <c r="B45" i="15"/>
  <c r="D44" i="15"/>
  <c r="C44" i="15"/>
  <c r="B44" i="15"/>
  <c r="D43" i="15"/>
  <c r="C43" i="15"/>
  <c r="J43" i="15" s="1"/>
  <c r="B43" i="15"/>
  <c r="E43" i="15" s="1"/>
  <c r="D42" i="15"/>
  <c r="C42" i="15"/>
  <c r="J42" i="15" s="1"/>
  <c r="B42" i="15"/>
  <c r="E42" i="15" s="1"/>
  <c r="C41" i="15"/>
  <c r="B41" i="15"/>
  <c r="D41" i="15" s="1"/>
  <c r="J41" i="15" s="1"/>
  <c r="D37" i="15"/>
  <c r="C37" i="15"/>
  <c r="B37" i="15"/>
  <c r="E37" i="15" s="1"/>
  <c r="J36" i="15"/>
  <c r="D36" i="15"/>
  <c r="C36" i="15"/>
  <c r="B36" i="15"/>
  <c r="E36" i="15" s="1"/>
  <c r="J35" i="15"/>
  <c r="D35" i="15"/>
  <c r="C35" i="15"/>
  <c r="B35" i="15"/>
  <c r="E35" i="15" s="1"/>
  <c r="D34" i="15"/>
  <c r="C34" i="15"/>
  <c r="B34" i="15"/>
  <c r="D33" i="15"/>
  <c r="J33" i="15" s="1"/>
  <c r="C33" i="15"/>
  <c r="B33" i="15"/>
  <c r="C32" i="15"/>
  <c r="J32" i="15" s="1"/>
  <c r="B32" i="15"/>
  <c r="D32" i="15" s="1"/>
  <c r="D31" i="15"/>
  <c r="C31" i="15"/>
  <c r="J31" i="15" s="1"/>
  <c r="B31" i="15"/>
  <c r="D30" i="15"/>
  <c r="C30" i="15"/>
  <c r="B30" i="15"/>
  <c r="D29" i="15"/>
  <c r="J29" i="15" s="1"/>
  <c r="C29" i="15"/>
  <c r="B29" i="15"/>
  <c r="C28" i="15"/>
  <c r="B28" i="15"/>
  <c r="D28" i="15" s="1"/>
  <c r="D49" i="15"/>
  <c r="J49" i="15" s="1"/>
  <c r="B49" i="15"/>
  <c r="J48" i="15"/>
  <c r="D48" i="15"/>
  <c r="B48" i="15"/>
  <c r="D47" i="15"/>
  <c r="J47" i="15" s="1"/>
  <c r="B47" i="15"/>
  <c r="C46" i="15"/>
  <c r="B46" i="15"/>
  <c r="E76" i="15" l="1"/>
  <c r="E48" i="15"/>
  <c r="E33" i="15"/>
  <c r="J37" i="15"/>
  <c r="E41" i="15"/>
  <c r="J44" i="15"/>
  <c r="J76" i="15"/>
  <c r="J53" i="15"/>
  <c r="E82" i="15"/>
  <c r="E20" i="15"/>
  <c r="E3" i="15"/>
  <c r="E5" i="15"/>
  <c r="J26" i="15"/>
  <c r="E85" i="15"/>
  <c r="J28" i="15"/>
  <c r="E75" i="15"/>
  <c r="E17" i="15"/>
  <c r="E19" i="15"/>
  <c r="E14" i="15"/>
  <c r="E87" i="15"/>
  <c r="J77" i="15"/>
  <c r="D7" i="15"/>
  <c r="J7" i="15" s="1"/>
  <c r="J27" i="15"/>
  <c r="E49" i="15"/>
  <c r="E31" i="15"/>
  <c r="E55" i="15"/>
  <c r="E57" i="15"/>
  <c r="E59" i="15"/>
  <c r="E61" i="15"/>
  <c r="E79" i="15"/>
  <c r="E13" i="15"/>
  <c r="E9" i="15"/>
  <c r="E11" i="15"/>
  <c r="E24" i="15"/>
  <c r="E84" i="15"/>
  <c r="E28" i="15"/>
  <c r="D38" i="15"/>
  <c r="J38" i="15" s="1"/>
  <c r="D2" i="15"/>
  <c r="J2" i="15" s="1"/>
  <c r="E47" i="15"/>
  <c r="E52" i="15"/>
  <c r="E65" i="15"/>
  <c r="E54" i="15"/>
  <c r="E56" i="15"/>
  <c r="E58" i="15"/>
  <c r="E60" i="15"/>
  <c r="E81" i="15"/>
  <c r="E12" i="15"/>
  <c r="J45" i="15"/>
  <c r="E45" i="15"/>
  <c r="E46" i="15"/>
  <c r="D46" i="15"/>
  <c r="J46" i="15" s="1"/>
  <c r="J68" i="15"/>
  <c r="E68" i="15"/>
  <c r="E70" i="15"/>
  <c r="J70" i="15"/>
  <c r="J72" i="15"/>
  <c r="E72" i="15"/>
  <c r="E74" i="15"/>
  <c r="J74" i="15"/>
  <c r="E32" i="15"/>
  <c r="J34" i="15"/>
  <c r="E34" i="15"/>
  <c r="E64" i="15"/>
  <c r="E78" i="15"/>
  <c r="D78" i="15"/>
  <c r="J78" i="15" s="1"/>
  <c r="E63" i="15"/>
  <c r="E67" i="15"/>
  <c r="J69" i="15"/>
  <c r="E69" i="15"/>
  <c r="J71" i="15"/>
  <c r="E71" i="15"/>
  <c r="J73" i="15"/>
  <c r="E73" i="15"/>
  <c r="E8" i="15"/>
  <c r="J8" i="15"/>
  <c r="J30" i="15"/>
  <c r="E30" i="15"/>
  <c r="E29" i="15"/>
  <c r="E44" i="15"/>
  <c r="E50" i="15"/>
  <c r="D50" i="15"/>
  <c r="J50" i="15" s="1"/>
  <c r="E10" i="15"/>
  <c r="E39" i="15"/>
  <c r="J9" i="15"/>
  <c r="J11" i="15"/>
  <c r="J12" i="15"/>
  <c r="D22" i="15"/>
  <c r="J22" i="15" s="1"/>
  <c r="D83" i="15"/>
  <c r="J83" i="15" s="1"/>
</calcChain>
</file>

<file path=xl/comments1.xml><?xml version="1.0" encoding="utf-8"?>
<comments xmlns="http://schemas.openxmlformats.org/spreadsheetml/2006/main">
  <authors>
    <author>ROEVEJR</author>
  </authors>
  <commentList>
    <comment ref="B13" authorId="0" shapeId="0">
      <text>
        <r>
          <rPr>
            <b/>
            <sz val="9"/>
            <color indexed="81"/>
            <rFont val="Tahoma"/>
            <family val="2"/>
          </rPr>
          <t>Roever, Jeremy:</t>
        </r>
        <r>
          <rPr>
            <sz val="9"/>
            <color indexed="81"/>
            <rFont val="Tahoma"/>
            <family val="2"/>
          </rPr>
          <t xml:space="preserve">
Provides an overview of the workbook and provides helpful information.</t>
        </r>
      </text>
    </comment>
    <comment ref="C13" authorId="0" shapeId="0">
      <text>
        <r>
          <rPr>
            <b/>
            <sz val="9"/>
            <color indexed="81"/>
            <rFont val="Tahoma"/>
            <family val="2"/>
          </rPr>
          <t>Roever, Jeremy:</t>
        </r>
        <r>
          <rPr>
            <sz val="9"/>
            <color indexed="81"/>
            <rFont val="Tahoma"/>
            <family val="2"/>
          </rPr>
          <t xml:space="preserve">
DO NOT MODIFY THE FORMAT.
Used to capture and store critical information about the Initiative, to include:
- Required JIRA information
- Initiative information from CWI
- Document Metrics
- Acronyms/Terms/Definitions
- Links to Supporting Documentation
</t>
        </r>
        <r>
          <rPr>
            <b/>
            <sz val="9"/>
            <color indexed="81"/>
            <rFont val="Tahoma"/>
            <family val="2"/>
          </rPr>
          <t>Also provides buttons in support of JIRA Import Creation and mapping/converting requirements previously captured in a different table structure/Excel template into the structure needed for this template/tool.</t>
        </r>
      </text>
    </comment>
    <comment ref="D13" authorId="0" shapeId="0">
      <text>
        <r>
          <rPr>
            <b/>
            <sz val="9"/>
            <color indexed="81"/>
            <rFont val="Tahoma"/>
            <family val="2"/>
          </rPr>
          <t>Roever, Jeremy:</t>
        </r>
        <r>
          <rPr>
            <sz val="9"/>
            <color indexed="81"/>
            <rFont val="Tahoma"/>
            <family val="2"/>
          </rPr>
          <t xml:space="preserve">
DO NOT MODIFY THE FORMAT.
Used to capture and store Guiding Principles, Assumptions, Dependencies, Constraints, and Risks associated with the Initiative.
Multiple buttons are provided that call macros in support of adding, deleting, or changing information as it is discussed from this tab.</t>
        </r>
      </text>
    </comment>
    <comment ref="E13" authorId="0" shapeId="0">
      <text>
        <r>
          <rPr>
            <b/>
            <sz val="9"/>
            <color indexed="81"/>
            <rFont val="Tahoma"/>
            <family val="2"/>
          </rPr>
          <t>Roever, Jeremy:</t>
        </r>
        <r>
          <rPr>
            <sz val="9"/>
            <color indexed="81"/>
            <rFont val="Tahoma"/>
            <family val="2"/>
          </rPr>
          <t xml:space="preserve">
DO NOT MODIFY THE FORMAT.
This will be the main tab you will work from.  It is used to capture and store the Capabilities, EPICs, and any Stories that make up the requirements of the Initiative.  It is critical that you do not change the order/purpose of the columns and that you understand that the only columns that will be used in the JIRA Creation macro are the one's provided by the template.
You can define Sections of the requirements for organizational purposes by using the 'NewSection' Issue Type.  These rows are not loaded into JIRA.
Multiple buttons are provided that call macros in support of adding, deleting, or changing information as it is discussed from this tab.  You can also copy all of the requirements over to the "IS_Requirements Mapping" tab when you are ready for the Solution Lead to map the systems for each requirement.</t>
        </r>
      </text>
    </comment>
    <comment ref="F13" authorId="0" shapeId="0">
      <text>
        <r>
          <rPr>
            <b/>
            <sz val="9"/>
            <color indexed="81"/>
            <rFont val="Tahoma"/>
            <family val="2"/>
          </rPr>
          <t>Roever, Jeremy:</t>
        </r>
        <r>
          <rPr>
            <sz val="9"/>
            <color indexed="81"/>
            <rFont val="Tahoma"/>
            <family val="2"/>
          </rPr>
          <t xml:space="preserve">
DO NOT MODIFY THE FORMAT.
Used to capture and store any Action Items and their associated status and assignments as they are identified while utilizing this template.
Action Items can be added manually/directly via the tab or by clicking on the "Add Action Item" button available on the "GADCR" and "EPICS" tabs.</t>
        </r>
      </text>
    </comment>
    <comment ref="G13" authorId="0" shapeId="0">
      <text>
        <r>
          <rPr>
            <b/>
            <sz val="9"/>
            <color indexed="81"/>
            <rFont val="Tahoma"/>
            <family val="2"/>
          </rPr>
          <t xml:space="preserve">Roever, Jeremy:
</t>
        </r>
        <r>
          <rPr>
            <sz val="9"/>
            <color indexed="81"/>
            <rFont val="Tahoma"/>
            <family val="2"/>
          </rPr>
          <t>DO NOT MODIFY THE FORMAT.
Used to capture and store records from the 'GADCR' and 'EPICS' tabs that have been either converted or removed using the 'Remove Seleced Row' and 'Remove HLBR' buttons.
Change Log records can be added manually/directly via the tab as well, but will primarily be added via the buttons noted above.</t>
        </r>
      </text>
    </comment>
    <comment ref="H13" authorId="0" shapeId="0">
      <text>
        <r>
          <rPr>
            <b/>
            <sz val="9"/>
            <color indexed="81"/>
            <rFont val="Tahoma"/>
            <family val="2"/>
          </rPr>
          <t>Roever, Jeremy:</t>
        </r>
        <r>
          <rPr>
            <sz val="9"/>
            <color indexed="81"/>
            <rFont val="Tahoma"/>
            <family val="2"/>
          </rPr>
          <t xml:space="preserve">
DO NOT MODIFY THE FORMAT.
Used by the Solution Lead to capture and store what systems are impacted by the requirements that were copied over from the 'EPICS' tab.
There should be a unique line/row for each system impacted by the requirement.  There is a button "Repeat Requirement" that, when clicked, will copy the selected requirement to a new row so that another system can be mapped as impacted by it.
This tab is CRITICAL INFORMATION to capture in support of the creation of the JIRA Import files.</t>
        </r>
      </text>
    </comment>
    <comment ref="I13" authorId="0" shapeId="0">
      <text>
        <r>
          <rPr>
            <b/>
            <sz val="9"/>
            <color indexed="81"/>
            <rFont val="Tahoma"/>
            <family val="2"/>
          </rPr>
          <t>Roever, Jeremy:</t>
        </r>
        <r>
          <rPr>
            <sz val="9"/>
            <color indexed="81"/>
            <rFont val="Tahoma"/>
            <family val="2"/>
          </rPr>
          <t xml:space="preserve">
DO NOT MODIFY THE FORMAT.  DO NOT DELETE THE THREE CHOICES ALREADY ENTERED.
Used by the Solution Lead to document the systems impacted by the Initiative.  These systems should be noted on the Solution Context Diagram and should match what is found in the Estimation Tool and/or CWI record.
This information is used on the "IS_Requirements Mapping" worksheet and is necessary in order to be able to select and populate the "System Name" column from for each requirement.</t>
        </r>
      </text>
    </comment>
    <comment ref="J13" authorId="0" shapeId="0">
      <text>
        <r>
          <rPr>
            <b/>
            <sz val="9"/>
            <color indexed="81"/>
            <rFont val="Tahoma"/>
            <family val="2"/>
          </rPr>
          <t>Roever, Jeremy:</t>
        </r>
        <r>
          <rPr>
            <sz val="9"/>
            <color indexed="81"/>
            <rFont val="Tahoma"/>
            <family val="2"/>
          </rPr>
          <t xml:space="preserve">
DO NOT DELETE THE FIRST TWO ROWS.  YOU MUST USE THE 2nd ROW FOR THE COLUMN HEADER INFORMATION.
Can be used to copy requirements that were previously captured in a different document/table into the required "EPICS" tab format necessary to support the JIRA Creation Import macros.</t>
        </r>
      </text>
    </comment>
    <comment ref="K13" authorId="0" shapeId="0">
      <text>
        <r>
          <rPr>
            <b/>
            <sz val="9"/>
            <color indexed="81"/>
            <rFont val="Tahoma"/>
            <family val="2"/>
          </rPr>
          <t>Roever, Jeremy:</t>
        </r>
        <r>
          <rPr>
            <sz val="9"/>
            <color indexed="81"/>
            <rFont val="Tahoma"/>
            <family val="2"/>
          </rPr>
          <t xml:space="preserve">
DO NOT MODIFY.
Lists the Operational Business Area (OBA) Domains as defined by Enterprise Architecture.  Can be used for reference.
Primarily used when clicking the 'Create STD OBA BRD' button on the "EPICS" tab which creates a standard OBA based organizational requirement format.</t>
        </r>
      </text>
    </comment>
    <comment ref="L13" authorId="0" shapeId="0">
      <text>
        <r>
          <rPr>
            <b/>
            <sz val="9"/>
            <color indexed="81"/>
            <rFont val="Tahoma"/>
            <family val="2"/>
          </rPr>
          <t>Roever, Jeremy:</t>
        </r>
        <r>
          <rPr>
            <sz val="9"/>
            <color indexed="81"/>
            <rFont val="Tahoma"/>
            <family val="2"/>
          </rPr>
          <t xml:space="preserve">
Helpful information that should be used as a guide for desired information requested by the Reporting teams to be captured when documenting Epics.</t>
        </r>
      </text>
    </comment>
  </commentList>
</comments>
</file>

<file path=xl/comments2.xml><?xml version="1.0" encoding="utf-8"?>
<comments xmlns="http://schemas.openxmlformats.org/spreadsheetml/2006/main">
  <authors>
    <author>Thomas, Judy</author>
    <author>Jim Coleman</author>
    <author>ROEVEJR</author>
  </authors>
  <commentList>
    <comment ref="A1" authorId="0" shapeId="0">
      <text>
        <r>
          <rPr>
            <b/>
            <sz val="9"/>
            <color indexed="81"/>
            <rFont val="Tahoma"/>
            <family val="2"/>
          </rPr>
          <t>Roever, Jeremy:</t>
        </r>
        <r>
          <rPr>
            <sz val="9"/>
            <color indexed="81"/>
            <rFont val="Tahoma"/>
            <family val="2"/>
          </rPr>
          <t xml:space="preserve">
Found in JIRA - this is the JIRA Assigned (Key) ID of the Initiative Issue Type.
This is the autogenerated key ID for the Initiative Issue Type.</t>
        </r>
      </text>
    </comment>
    <comment ref="A2" authorId="0" shapeId="0">
      <text>
        <r>
          <rPr>
            <b/>
            <sz val="9"/>
            <color indexed="81"/>
            <rFont val="Tahoma"/>
            <family val="2"/>
          </rPr>
          <t>Roever, Jeremy:</t>
        </r>
        <r>
          <rPr>
            <sz val="9"/>
            <color indexed="81"/>
            <rFont val="Tahoma"/>
            <family val="2"/>
          </rPr>
          <t xml:space="preserve">
Found in JIRA - This is the Initiative Issue Type "Work Id No" in JIRA.
This should only be a 5-Digit number - without leading zeros.  Any other values, or an invalid APM Project ID, will display in JIRA with "NOT FOUND" following the value.</t>
        </r>
      </text>
    </comment>
    <comment ref="A3" authorId="1" shapeId="0">
      <text>
        <r>
          <rPr>
            <b/>
            <sz val="9"/>
            <color indexed="81"/>
            <rFont val="Tahoma"/>
            <family val="2"/>
          </rPr>
          <t>Roever, Jeremy:</t>
        </r>
        <r>
          <rPr>
            <sz val="9"/>
            <color indexed="81"/>
            <rFont val="Tahoma"/>
            <family val="2"/>
          </rPr>
          <t xml:space="preserve">
Found in JIRA - This is the "Initiative Work ID" defined for the Initiative Issue Type.
It is auto-generated in JIRA based on the Project Area.</t>
        </r>
      </text>
    </comment>
    <comment ref="A4" authorId="2" shapeId="0">
      <text>
        <r>
          <rPr>
            <b/>
            <sz val="9"/>
            <color indexed="81"/>
            <rFont val="Tahoma"/>
            <family val="2"/>
          </rPr>
          <t>Roever, Jeremy:</t>
        </r>
        <r>
          <rPr>
            <sz val="9"/>
            <color indexed="81"/>
            <rFont val="Tahoma"/>
            <family val="2"/>
          </rPr>
          <t xml:space="preserve">
WID ID assigned for the Initiative.  Pulled from the JIRA Initiative Issue Type's "Work ID", it is only the WID****** value.  Must include the "WID" prefix.
This field is used in creating a searchable/filterable label within JIRA for the Initiative.</t>
        </r>
      </text>
    </comment>
    <comment ref="A5" authorId="2" shapeId="0">
      <text>
        <r>
          <rPr>
            <b/>
            <sz val="9"/>
            <color indexed="81"/>
            <rFont val="Tahoma"/>
            <family val="2"/>
          </rPr>
          <t>Roever, Jeremy:</t>
        </r>
        <r>
          <rPr>
            <sz val="9"/>
            <color indexed="81"/>
            <rFont val="Tahoma"/>
            <family val="2"/>
          </rPr>
          <t xml:space="preserve">
This can be found under the "IT Contacts" tab of the CWI record.</t>
        </r>
      </text>
    </comment>
    <comment ref="A6" authorId="2" shapeId="0">
      <text>
        <r>
          <rPr>
            <b/>
            <sz val="9"/>
            <color indexed="81"/>
            <rFont val="Tahoma"/>
            <family val="2"/>
          </rPr>
          <t>Roever, Jeremy:</t>
        </r>
        <r>
          <rPr>
            <sz val="9"/>
            <color indexed="81"/>
            <rFont val="Tahoma"/>
            <family val="2"/>
          </rPr>
          <t xml:space="preserve">
US Domain ID of the IT Delivery Manager.
This will be used as the defaulted Assignee in JIRA.</t>
        </r>
      </text>
    </comment>
    <comment ref="A7" authorId="2" shapeId="0">
      <text>
        <r>
          <rPr>
            <b/>
            <sz val="9"/>
            <color indexed="81"/>
            <rFont val="Tahoma"/>
            <family val="2"/>
          </rPr>
          <t xml:space="preserve">Roever, Jeremy:
</t>
        </r>
        <r>
          <rPr>
            <sz val="9"/>
            <color indexed="81"/>
            <rFont val="Tahoma"/>
            <family val="2"/>
          </rPr>
          <t>US Domain ID of the person to be listed as the Reporter in JIRA.
Typically either the person documenting the requirements or the IT Delivery Manager.
This will be used as the defaulted Reporter in JIRA.</t>
        </r>
      </text>
    </comment>
    <comment ref="A8" authorId="2" shapeId="0">
      <text>
        <r>
          <rPr>
            <b/>
            <sz val="9"/>
            <color indexed="81"/>
            <rFont val="Tahoma"/>
            <family val="2"/>
          </rPr>
          <t>Roever, Jeremy:</t>
        </r>
        <r>
          <rPr>
            <sz val="9"/>
            <color indexed="81"/>
            <rFont val="Tahoma"/>
            <family val="2"/>
          </rPr>
          <t xml:space="preserve">
This is the "CWI Priority/Initiative" field value from the CWI record.</t>
        </r>
      </text>
    </comment>
    <comment ref="A9" authorId="2" shapeId="0">
      <text>
        <r>
          <rPr>
            <b/>
            <sz val="9"/>
            <color indexed="81"/>
            <rFont val="Tahoma"/>
            <family val="2"/>
          </rPr>
          <t xml:space="preserve">Roever, Jeremy:
</t>
        </r>
        <r>
          <rPr>
            <sz val="9"/>
            <color indexed="81"/>
            <rFont val="Tahoma"/>
            <family val="2"/>
          </rPr>
          <t>This field is ONLY used for WAVE related work.  This may not be applicable, depending upon the initiative source.  
This field is used in creating a searchable/filterable label within JIRA for the initiative.</t>
        </r>
      </text>
    </comment>
    <comment ref="A10" authorId="2" shapeId="0">
      <text>
        <r>
          <rPr>
            <b/>
            <sz val="9"/>
            <color indexed="81"/>
            <rFont val="Tahoma"/>
            <family val="2"/>
          </rPr>
          <t>Roever, Jeremy:</t>
        </r>
        <r>
          <rPr>
            <sz val="9"/>
            <color indexed="81"/>
            <rFont val="Tahoma"/>
            <family val="2"/>
          </rPr>
          <t xml:space="preserve">
This field is ONLY used for SSCR related work.  Project Initiation and Projects should NOT populate this value.
If it is populated, then it is assumed this is an SSCR BRD and the LOAD JIRA macro will create a SSCR ID mapping column for JIRA.</t>
        </r>
      </text>
    </comment>
    <comment ref="A11" authorId="2" shapeId="0">
      <text>
        <r>
          <rPr>
            <b/>
            <sz val="9"/>
            <color indexed="81"/>
            <rFont val="Tahoma"/>
            <family val="2"/>
          </rPr>
          <t>Roever, Jeremy:</t>
        </r>
        <r>
          <rPr>
            <sz val="9"/>
            <color indexed="81"/>
            <rFont val="Tahoma"/>
            <family val="2"/>
          </rPr>
          <t xml:space="preserve">
This value is captured from the CWI Work Request Name field.</t>
        </r>
      </text>
    </comment>
    <comment ref="A13" authorId="2" shapeId="0">
      <text>
        <r>
          <rPr>
            <b/>
            <sz val="9"/>
            <color indexed="81"/>
            <rFont val="Tahoma"/>
            <family val="2"/>
          </rPr>
          <t>Roever, Jeremy:</t>
        </r>
        <r>
          <rPr>
            <sz val="9"/>
            <color indexed="81"/>
            <rFont val="Tahoma"/>
            <family val="2"/>
          </rPr>
          <t xml:space="preserve">
Add all of the names of the Contributors here in one cell.</t>
        </r>
      </text>
    </comment>
    <comment ref="A27" authorId="2" shapeId="0">
      <text>
        <r>
          <rPr>
            <b/>
            <sz val="9"/>
            <color indexed="81"/>
            <rFont val="Tahoma"/>
            <family val="2"/>
          </rPr>
          <t>ROEVEJR:</t>
        </r>
        <r>
          <rPr>
            <sz val="9"/>
            <color indexed="81"/>
            <rFont val="Tahoma"/>
            <family val="2"/>
          </rPr>
          <t xml:space="preserve">
Default is to breakdown by OBA Level 0.  However, if you know what your Capabilities are, you can uniquely define them here.</t>
        </r>
      </text>
    </comment>
  </commentList>
</comments>
</file>

<file path=xl/comments3.xml><?xml version="1.0" encoding="utf-8"?>
<comments xmlns="http://schemas.openxmlformats.org/spreadsheetml/2006/main">
  <authors>
    <author>ROEVEJR</author>
    <author>Thomas, Judy</author>
  </authors>
  <commentList>
    <comment ref="A3" authorId="0" shapeId="0">
      <text>
        <r>
          <rPr>
            <b/>
            <sz val="9"/>
            <color indexed="81"/>
            <rFont val="Tahoma"/>
            <family val="2"/>
          </rPr>
          <t>Roever, Jeremy:</t>
        </r>
        <r>
          <rPr>
            <sz val="9"/>
            <color indexed="81"/>
            <rFont val="Tahoma"/>
            <family val="2"/>
          </rPr>
          <t xml:space="preserve">
- MUST BE IN ALPHABETIC AND SEQUENTIAL ORDER.
Temporary ID used in this BRD work artifact that will be concatenated with Issue Type Title in the JIRA Issue Type Title field.
To be used for traceability from JIRA to BRD.
This field will also be used to help manually link the JIRA Assigned IDs after import as needed to ensure the JIRA structure/hierarchy is intact.</t>
        </r>
      </text>
    </comment>
    <comment ref="B3" authorId="0" shapeId="0">
      <text>
        <r>
          <rPr>
            <b/>
            <sz val="9"/>
            <color indexed="81"/>
            <rFont val="Tahoma"/>
            <family val="2"/>
          </rPr>
          <t>Roever, Jeremy:</t>
        </r>
        <r>
          <rPr>
            <sz val="9"/>
            <color indexed="81"/>
            <rFont val="Tahoma"/>
            <family val="2"/>
          </rPr>
          <t xml:space="preserve">
Used to define the Issue Type of the record.
Loaded into JIRA under the Issue Type field and defines whether it's a Capability/Epic/Story.
Limited to the below value options (No value - blank and NewSection will be ignored by the JIRA Import macros and not create any associated record.
</t>
        </r>
        <r>
          <rPr>
            <b/>
            <sz val="9"/>
            <color indexed="81"/>
            <rFont val="Tahoma"/>
            <family val="2"/>
          </rPr>
          <t>Valid values are:</t>
        </r>
        <r>
          <rPr>
            <sz val="9"/>
            <color indexed="81"/>
            <rFont val="Tahoma"/>
            <family val="2"/>
          </rPr>
          <t xml:space="preserve">
1. No value - blank
2. NewSection
3. Capability
4. EPIC
5. Story</t>
        </r>
      </text>
    </comment>
    <comment ref="C3" authorId="0" shapeId="0">
      <text>
        <r>
          <rPr>
            <b/>
            <sz val="9"/>
            <color indexed="81"/>
            <rFont val="Tahoma"/>
            <family val="2"/>
          </rPr>
          <t>Roever, Jeremy:</t>
        </r>
        <r>
          <rPr>
            <sz val="9"/>
            <color indexed="81"/>
            <rFont val="Tahoma"/>
            <family val="2"/>
          </rPr>
          <t xml:space="preserve">
Title for the Issue Type to be displayed in JIRA.
Loaded into JIRA under the Summary field of the Capability/Epic/Story Issue Type.  JIRA Import macros will also prefix this value with the WID_ID and the REQID.  Cannot have line breaks or special characters.
</t>
        </r>
        <r>
          <rPr>
            <b/>
            <sz val="9"/>
            <color indexed="81"/>
            <rFont val="Tahoma"/>
            <family val="2"/>
          </rPr>
          <t>Example:</t>
        </r>
        <r>
          <rPr>
            <sz val="9"/>
            <color indexed="81"/>
            <rFont val="Tahoma"/>
            <family val="2"/>
          </rPr>
          <t xml:space="preserve">
WID_ID-REQID-Issue Type Title/Summary</t>
        </r>
      </text>
    </comment>
    <comment ref="D3" authorId="0" shapeId="0">
      <text>
        <r>
          <rPr>
            <b/>
            <sz val="9"/>
            <color indexed="81"/>
            <rFont val="Tahoma"/>
            <family val="2"/>
          </rPr>
          <t>Roever, Jeremy:</t>
        </r>
        <r>
          <rPr>
            <sz val="9"/>
            <color indexed="81"/>
            <rFont val="Tahoma"/>
            <family val="2"/>
          </rPr>
          <t xml:space="preserve">
Free form text field used to capture the description (actual business need) for the Capability/Epic/Story.
Loaded into JIRA under the Description field of the Capability/Epic/Story Issue Type.</t>
        </r>
      </text>
    </comment>
    <comment ref="E3" authorId="0" shapeId="0">
      <text>
        <r>
          <rPr>
            <b/>
            <sz val="9"/>
            <color indexed="81"/>
            <rFont val="Tahoma"/>
            <family val="2"/>
          </rPr>
          <t>Roever, Jeremy:</t>
        </r>
        <r>
          <rPr>
            <sz val="9"/>
            <color indexed="81"/>
            <rFont val="Tahoma"/>
            <family val="2"/>
          </rPr>
          <t xml:space="preserve">
Free form text field to capture any notes and addtiional information related to the Capability/Epic/Story.
Loaded into JIRA under the Description field of the Capability/Epic/Story Issue Type.</t>
        </r>
      </text>
    </comment>
    <comment ref="F3" authorId="1" shapeId="0">
      <text>
        <r>
          <rPr>
            <b/>
            <sz val="9"/>
            <color indexed="81"/>
            <rFont val="Tahoma"/>
            <family val="2"/>
          </rPr>
          <t>Roever, Jeremy:</t>
        </r>
        <r>
          <rPr>
            <sz val="9"/>
            <color indexed="81"/>
            <rFont val="Tahoma"/>
            <family val="2"/>
          </rPr>
          <t xml:space="preserve">
Person(s) who provided and/or can speak to the intent and answer any business questions for the Epic/User Story.
Loaded into JIRA under the Description field of the Capability/Epic/Story Issue Type.</t>
        </r>
      </text>
    </comment>
    <comment ref="G3" authorId="0" shapeId="0">
      <text>
        <r>
          <rPr>
            <b/>
            <sz val="9"/>
            <color indexed="81"/>
            <rFont val="Tahoma"/>
            <family val="2"/>
          </rPr>
          <t>Roever, Jeremy:</t>
        </r>
        <r>
          <rPr>
            <sz val="9"/>
            <color indexed="81"/>
            <rFont val="Tahoma"/>
            <family val="2"/>
          </rPr>
          <t xml:space="preserve">
Listings of any known system impacts.
Loaded into JIRA under the Description field of the Capability/Epic/Story Issue Type.
This is temporary and is concatenated in the JIRA description.  JIRA and Barometer IT do not align so we cannot map to the systems as defined in JIRA.</t>
        </r>
      </text>
    </comment>
    <comment ref="H3" authorId="1" shapeId="0">
      <text>
        <r>
          <rPr>
            <b/>
            <sz val="9"/>
            <color indexed="81"/>
            <rFont val="Tahoma"/>
            <family val="2"/>
          </rPr>
          <t>Roever, Jeremy:</t>
        </r>
        <r>
          <rPr>
            <sz val="9"/>
            <color indexed="81"/>
            <rFont val="Tahoma"/>
            <family val="2"/>
          </rPr>
          <t xml:space="preserve">
Free form field that can be given any values needed for sorting/filtering requirements.  Loaded into JIRA under the Label field for the Capability/Epic/Story Issue Type.
JIRA Import macro will automatically create a default label using the WID_ID.
</t>
        </r>
        <r>
          <rPr>
            <b/>
            <sz val="9"/>
            <color indexed="81"/>
            <rFont val="Tahoma"/>
            <family val="2"/>
          </rPr>
          <t>IMPORTANT NOTES:</t>
        </r>
        <r>
          <rPr>
            <sz val="9"/>
            <color indexed="81"/>
            <rFont val="Tahoma"/>
            <family val="2"/>
          </rPr>
          <t xml:space="preserve">
</t>
        </r>
        <r>
          <rPr>
            <b/>
            <sz val="9"/>
            <color indexed="81"/>
            <rFont val="Tahoma"/>
            <family val="2"/>
          </rPr>
          <t>1.</t>
        </r>
        <r>
          <rPr>
            <sz val="9"/>
            <color indexed="81"/>
            <rFont val="Tahoma"/>
            <family val="2"/>
          </rPr>
          <t xml:space="preserve"> Should </t>
        </r>
        <r>
          <rPr>
            <b/>
            <sz val="9"/>
            <color indexed="81"/>
            <rFont val="Tahoma"/>
            <family val="2"/>
          </rPr>
          <t>always prefix with the WID_ID or WAVE_ID</t>
        </r>
        <r>
          <rPr>
            <sz val="9"/>
            <color indexed="81"/>
            <rFont val="Tahoma"/>
            <family val="2"/>
          </rPr>
          <t xml:space="preserve"> for uniqueness in JIRA.  </t>
        </r>
        <r>
          <rPr>
            <b/>
            <sz val="9"/>
            <color indexed="81"/>
            <rFont val="Tahoma"/>
            <family val="2"/>
          </rPr>
          <t>(The 'Create JIRA Imports' macro will automatically do this prefix for you.)</t>
        </r>
        <r>
          <rPr>
            <sz val="9"/>
            <color indexed="81"/>
            <rFont val="Tahoma"/>
            <family val="2"/>
          </rPr>
          <t xml:space="preserve">
</t>
        </r>
        <r>
          <rPr>
            <b/>
            <sz val="9"/>
            <color indexed="81"/>
            <rFont val="Tahoma"/>
            <family val="2"/>
          </rPr>
          <t>2.</t>
        </r>
        <r>
          <rPr>
            <sz val="9"/>
            <color indexed="81"/>
            <rFont val="Tahoma"/>
            <family val="2"/>
          </rPr>
          <t xml:space="preserve"> </t>
        </r>
        <r>
          <rPr>
            <b/>
            <sz val="9"/>
            <color indexed="81"/>
            <rFont val="Tahoma"/>
            <family val="2"/>
          </rPr>
          <t>Labels are case sensitive in JIRA</t>
        </r>
        <r>
          <rPr>
            <sz val="9"/>
            <color indexed="81"/>
            <rFont val="Tahoma"/>
            <family val="2"/>
          </rPr>
          <t xml:space="preserve"> so they should be used consistently, otherwise they will be interpreted by JIRA as a new unique label.
</t>
        </r>
        <r>
          <rPr>
            <b/>
            <sz val="9"/>
            <color indexed="81"/>
            <rFont val="Tahoma"/>
            <family val="2"/>
          </rPr>
          <t>3.</t>
        </r>
        <r>
          <rPr>
            <sz val="9"/>
            <color indexed="81"/>
            <rFont val="Tahoma"/>
            <family val="2"/>
          </rPr>
          <t xml:space="preserve"> Finally, </t>
        </r>
        <r>
          <rPr>
            <b/>
            <sz val="9"/>
            <color indexed="81"/>
            <rFont val="Tahoma"/>
            <family val="2"/>
          </rPr>
          <t xml:space="preserve">a space is interpreted by JIRA as defining a new unique label </t>
        </r>
        <r>
          <rPr>
            <sz val="9"/>
            <color indexed="81"/>
            <rFont val="Tahoma"/>
            <family val="2"/>
          </rPr>
          <t>so do not use spaces except to seperate multiple labels.</t>
        </r>
      </text>
    </comment>
    <comment ref="I3" authorId="1" shapeId="0">
      <text>
        <r>
          <rPr>
            <b/>
            <sz val="9"/>
            <color indexed="81"/>
            <rFont val="Tahoma"/>
            <family val="2"/>
          </rPr>
          <t>Roever, Jeremy:</t>
        </r>
        <r>
          <rPr>
            <sz val="9"/>
            <color indexed="81"/>
            <rFont val="Tahoma"/>
            <family val="2"/>
          </rPr>
          <t xml:space="preserve">
Field used to capture the Date the requirement is needed to be implemented by.
Loaded into JIRA under the Need By Date field for the Capability/Epic/Story Issue Type.</t>
        </r>
      </text>
    </comment>
    <comment ref="J3" authorId="1" shapeId="0">
      <text>
        <r>
          <rPr>
            <b/>
            <sz val="9"/>
            <color indexed="81"/>
            <rFont val="Tahoma"/>
            <family val="2"/>
          </rPr>
          <t>Roever, Jeremy:</t>
        </r>
        <r>
          <rPr>
            <sz val="9"/>
            <color indexed="81"/>
            <rFont val="Tahoma"/>
            <family val="2"/>
          </rPr>
          <t xml:space="preserve">
Field used to capture additional custom/free-form information.  This field can be used however the user would like to capture additional information that does not easily fit/map to one of the previously offered template columns.
You can customize the name of the column however you need to.  The column name will be used to identify the information, if any, that was noted for the requirement row when loaded into JIRA.
Loaded into JIRA under the Description field of the Capability/Epic/Story Issue Type.</t>
        </r>
      </text>
    </comment>
    <comment ref="K3" authorId="1" shapeId="0">
      <text>
        <r>
          <rPr>
            <b/>
            <sz val="9"/>
            <color indexed="81"/>
            <rFont val="Tahoma"/>
            <family val="2"/>
          </rPr>
          <t>Roever, Jeremy:</t>
        </r>
        <r>
          <rPr>
            <sz val="9"/>
            <color indexed="81"/>
            <rFont val="Tahoma"/>
            <family val="2"/>
          </rPr>
          <t xml:space="preserve">
Free form field that can be used to capture the Acceptance Criteria for the Story.  Not used for Capabilities or EPICs.
Loaded into JIRA under the Acceptance Criteria field for the Capability/Epic/Story Issue Type.</t>
        </r>
      </text>
    </comment>
    <comment ref="L3" authorId="0" shapeId="0">
      <text>
        <r>
          <rPr>
            <b/>
            <sz val="9"/>
            <color indexed="81"/>
            <rFont val="Tahoma"/>
            <family val="2"/>
          </rPr>
          <t>Roever, Jeremy:</t>
        </r>
        <r>
          <rPr>
            <sz val="9"/>
            <color indexed="81"/>
            <rFont val="Tahoma"/>
            <family val="2"/>
          </rPr>
          <t xml:space="preserve">
Listings of IT identified system impacts.  This is auto-populated when the JIRA Upload macro is run.  It grabs the identified system information from the "IS_Requirements Mapping" tab that was populated by the Solution Lead.
Loaded into JIRA under the Description field of the Capability/Epic/Story Issue Type.
Anything populated in this field will  be over-written by the macros used to create the JIRA Import file</t>
        </r>
      </text>
    </comment>
  </commentList>
</comments>
</file>

<file path=xl/comments4.xml><?xml version="1.0" encoding="utf-8"?>
<comments xmlns="http://schemas.openxmlformats.org/spreadsheetml/2006/main">
  <authors>
    <author>ROEVEJR</author>
    <author>Thomas, Judy</author>
  </authors>
  <commentList>
    <comment ref="A1" authorId="0" shapeId="0">
      <text>
        <r>
          <rPr>
            <b/>
            <sz val="9"/>
            <color indexed="81"/>
            <rFont val="Tahoma"/>
            <family val="2"/>
          </rPr>
          <t>ROEVEJR:</t>
        </r>
        <r>
          <rPr>
            <sz val="9"/>
            <color indexed="81"/>
            <rFont val="Tahoma"/>
            <family val="2"/>
          </rPr>
          <t xml:space="preserve">
Temporary ID used in BRD work artifact that will be concatenated with Issue Type Title in the JIRA Issue Type Title field.  To be used for traceability from JIRA to BRD.</t>
        </r>
      </text>
    </comment>
    <comment ref="B1" authorId="0" shapeId="0">
      <text>
        <r>
          <rPr>
            <b/>
            <sz val="9"/>
            <color indexed="81"/>
            <rFont val="Tahoma"/>
            <family val="2"/>
          </rPr>
          <t>ROEVEJR:</t>
        </r>
        <r>
          <rPr>
            <sz val="9"/>
            <color indexed="81"/>
            <rFont val="Tahoma"/>
            <family val="2"/>
          </rPr>
          <t xml:space="preserve">
Valid values are:
1. No value
2. Capability
3. EPIC
4. User Story</t>
        </r>
      </text>
    </comment>
    <comment ref="C1" authorId="0" shapeId="0">
      <text>
        <r>
          <rPr>
            <b/>
            <sz val="9"/>
            <color indexed="81"/>
            <rFont val="Tahoma"/>
            <family val="2"/>
          </rPr>
          <t>ROEVEJR:</t>
        </r>
        <r>
          <rPr>
            <sz val="9"/>
            <color indexed="81"/>
            <rFont val="Tahoma"/>
            <family val="2"/>
          </rPr>
          <t xml:space="preserve">
Title for the Issue Type to be displayed in JIRA.
Example:
Capability Title
EPIC Title
User Story Title</t>
        </r>
      </text>
    </comment>
    <comment ref="F1" authorId="1" shapeId="0">
      <text>
        <r>
          <rPr>
            <b/>
            <sz val="9"/>
            <color indexed="81"/>
            <rFont val="Tahoma"/>
            <family val="2"/>
          </rPr>
          <t>Coleman, Jim:</t>
        </r>
        <r>
          <rPr>
            <sz val="9"/>
            <color indexed="81"/>
            <rFont val="Tahoma"/>
            <family val="2"/>
          </rPr>
          <t xml:space="preserve">
Person who provided the Epic/User Story. This must be the Network ID of the person.
 If more than one person, then an Import needs a column for each person.
</t>
        </r>
      </text>
    </comment>
    <comment ref="G1" authorId="0" shapeId="0">
      <text>
        <r>
          <rPr>
            <b/>
            <sz val="9"/>
            <color indexed="81"/>
            <rFont val="Tahoma"/>
            <family val="2"/>
          </rPr>
          <t>ROEVEJR:</t>
        </r>
        <r>
          <rPr>
            <sz val="9"/>
            <color indexed="81"/>
            <rFont val="Tahoma"/>
            <family val="2"/>
          </rPr>
          <t xml:space="preserve">
Listings of any known system impacts.
This is temporary and is concatenated in the JIRA description.  JIRA and Barometer IT do not align so we cannot map to the systems as defined in JIRA.</t>
        </r>
      </text>
    </comment>
    <comment ref="H1" authorId="1" shapeId="0">
      <text>
        <r>
          <rPr>
            <b/>
            <sz val="9"/>
            <color indexed="81"/>
            <rFont val="Tahoma"/>
            <family val="2"/>
          </rPr>
          <t>Thomas, Judy:</t>
        </r>
        <r>
          <rPr>
            <sz val="9"/>
            <color indexed="81"/>
            <rFont val="Tahoma"/>
            <family val="2"/>
          </rPr>
          <t xml:space="preserve">
This is a free form field that can be given any values needed for sorting requirements. Note that labels are case sensitive in JIRA so they should be used consistently.</t>
        </r>
      </text>
    </comment>
    <comment ref="L1" authorId="0" shapeId="0">
      <text>
        <r>
          <rPr>
            <b/>
            <sz val="9"/>
            <color indexed="81"/>
            <rFont val="Tahoma"/>
            <family val="2"/>
          </rPr>
          <t>ROEVEJR:</t>
        </r>
        <r>
          <rPr>
            <sz val="9"/>
            <color indexed="81"/>
            <rFont val="Tahoma"/>
            <family val="2"/>
          </rPr>
          <t xml:space="preserve">
Listings of any known system impacts.
This is temporary and is concatenated in the JIRA description.  JIRA and Barometer IT do not align so we cannot map to the systems as defined in JIRA.</t>
        </r>
      </text>
    </comment>
  </commentList>
</comments>
</file>

<file path=xl/comments5.xml><?xml version="1.0" encoding="utf-8"?>
<comments xmlns="http://schemas.openxmlformats.org/spreadsheetml/2006/main">
  <authors>
    <author>ROEVEJR</author>
  </authors>
  <commentList>
    <comment ref="A3" authorId="0" shapeId="0">
      <text>
        <r>
          <rPr>
            <b/>
            <sz val="9"/>
            <color indexed="81"/>
            <rFont val="Tahoma"/>
            <family val="2"/>
          </rPr>
          <t xml:space="preserve">Roever, Jeremy:
</t>
        </r>
        <r>
          <rPr>
            <sz val="9"/>
            <color indexed="81"/>
            <rFont val="Tahoma"/>
            <family val="2"/>
          </rPr>
          <t>- MUST BE IN ALPHABETIC AND SEQUENTIAL ORDER.</t>
        </r>
        <r>
          <rPr>
            <b/>
            <sz val="9"/>
            <color indexed="81"/>
            <rFont val="Tahoma"/>
            <family val="2"/>
          </rPr>
          <t xml:space="preserve">
- </t>
        </r>
        <r>
          <rPr>
            <sz val="9"/>
            <color indexed="81"/>
            <rFont val="Tahoma"/>
            <family val="2"/>
          </rPr>
          <t xml:space="preserve">MUST HAVE A MATCHING REQID ON THE "EPICS" WORKSHEET.
</t>
        </r>
        <r>
          <rPr>
            <b/>
            <sz val="9"/>
            <color indexed="81"/>
            <rFont val="Tahoma"/>
            <family val="2"/>
          </rPr>
          <t xml:space="preserve">
</t>
        </r>
        <r>
          <rPr>
            <sz val="9"/>
            <color indexed="81"/>
            <rFont val="Tahoma"/>
            <family val="2"/>
          </rPr>
          <t>Temporary ID used in this BRD work artifact that will be concatenated with Issue Type Title in the JIRA Issue Type Title field.
To be used for traceability from JIRA to BRD.
This field will also be used to help manually link the JIRA Assigned IDs after import as needed to ensure the JIRA structure/hierarchy is intact.</t>
        </r>
      </text>
    </comment>
    <comment ref="B3" authorId="0" shapeId="0">
      <text>
        <r>
          <rPr>
            <b/>
            <sz val="9"/>
            <color indexed="81"/>
            <rFont val="Tahoma"/>
            <family val="2"/>
          </rPr>
          <t>Roever, Jeremy:</t>
        </r>
        <r>
          <rPr>
            <sz val="9"/>
            <color indexed="81"/>
            <rFont val="Tahoma"/>
            <family val="2"/>
          </rPr>
          <t xml:space="preserve">
- MUST MATCH THE VALUE FOR THE REQID ON THE "EPICS" WORKSHEET.
Title for the Issue Type to be displayed in JIRA.
Loaded into JIRA under the Summary field of the Capability/Epic/Story Issue Type.  JIRA Import macros will also prefix this value with the WID_ID and the REQID.  Cannot have line breaks or special characters.</t>
        </r>
      </text>
    </comment>
    <comment ref="C3" authorId="0" shapeId="0">
      <text>
        <r>
          <rPr>
            <b/>
            <sz val="9"/>
            <color indexed="81"/>
            <rFont val="Tahoma"/>
            <family val="2"/>
          </rPr>
          <t>Roever, Jeremy:</t>
        </r>
        <r>
          <rPr>
            <sz val="9"/>
            <color indexed="81"/>
            <rFont val="Tahoma"/>
            <family val="2"/>
          </rPr>
          <t xml:space="preserve">
- MUST MATCH THE VALUE FOR THE REQID ON THE "EPICS" WORKSHEET.
Title for the Issue Type to be displayed in JIRA.
Loaded into JIRA under the Summary field of the Capability/Epic/Story Issue Type.  JIRA Import macros will also prefix this value with the WID_ID and the REQID.  Cannot have line breaks or special characters.</t>
        </r>
      </text>
    </comment>
    <comment ref="D3" authorId="0" shapeId="0">
      <text>
        <r>
          <rPr>
            <b/>
            <sz val="9"/>
            <color indexed="81"/>
            <rFont val="Tahoma"/>
            <family val="2"/>
          </rPr>
          <t>Roever, Jeremy:</t>
        </r>
        <r>
          <rPr>
            <sz val="9"/>
            <color indexed="81"/>
            <rFont val="Tahoma"/>
            <family val="2"/>
          </rPr>
          <t xml:space="preserve">
- MUST MATCH THE VALUE FOR THE REQID ON THE "EPICS" WORKSHEET.
Free form text field used to capture the description (actual business need) for the Capability/Epic/Story.</t>
        </r>
      </text>
    </comment>
    <comment ref="E3" authorId="0" shapeId="0">
      <text>
        <r>
          <rPr>
            <b/>
            <sz val="9"/>
            <color indexed="81"/>
            <rFont val="Tahoma"/>
            <family val="2"/>
          </rPr>
          <t>Roever, Jeremy:</t>
        </r>
        <r>
          <rPr>
            <sz val="9"/>
            <color indexed="81"/>
            <rFont val="Tahoma"/>
            <family val="2"/>
          </rPr>
          <t xml:space="preserve">
The name of the System impacted (requires a change or testing) by the requirement.
If there are no impacts, then you can either identify it with:
1. ** Not Applicable
2. ** Business Process Only - NO IT Involvement Needed
The values in the dropdown are populated from the information that you have entered on the "IS_Impacted_Systems_List" worksheet.
Each REQID/System Name MUST have its own unique record/line on this worksheet.
This information is used to populate the 'IT Identified Impacted Areas' column on the "EPICS" worksheet for the identified REQID.</t>
        </r>
      </text>
    </comment>
    <comment ref="F3" authorId="0" shapeId="0">
      <text>
        <r>
          <rPr>
            <b/>
            <sz val="9"/>
            <color indexed="81"/>
            <rFont val="Tahoma"/>
            <family val="2"/>
          </rPr>
          <t>Roever, Jeremy:</t>
        </r>
        <r>
          <rPr>
            <sz val="9"/>
            <color indexed="81"/>
            <rFont val="Tahoma"/>
            <family val="2"/>
          </rPr>
          <t xml:space="preserve">
Freeform field that can be used to summarize how the system may be impacted - what's needed at a high level.
When requirements are copied over to this worksheet from the "EPICS" worksheet using the "Load All Requirements to Mapping Worksheet" button, if any 'Business Identified Impacted Areas' are noted, it will copy that information here as well for help in research during Solutioning.</t>
        </r>
      </text>
    </comment>
  </commentList>
</comments>
</file>

<file path=xl/comments6.xml><?xml version="1.0" encoding="utf-8"?>
<comments xmlns="http://schemas.openxmlformats.org/spreadsheetml/2006/main">
  <authors>
    <author>ROEVEJR</author>
  </authors>
  <commentList>
    <comment ref="A1" authorId="0" shapeId="0">
      <text>
        <r>
          <rPr>
            <b/>
            <sz val="9"/>
            <color indexed="81"/>
            <rFont val="Tahoma"/>
            <family val="2"/>
          </rPr>
          <t>Roever, Jeremy:</t>
        </r>
        <r>
          <rPr>
            <sz val="9"/>
            <color indexed="81"/>
            <rFont val="Tahoma"/>
            <family val="2"/>
          </rPr>
          <t xml:space="preserve">
System Name of the impacted system.  Should match how it is defined in the Estimation Tool.</t>
        </r>
      </text>
    </comment>
    <comment ref="B1" authorId="0" shapeId="0">
      <text>
        <r>
          <rPr>
            <b/>
            <sz val="9"/>
            <color indexed="81"/>
            <rFont val="Tahoma"/>
            <family val="2"/>
          </rPr>
          <t>Roever, Jeremy:</t>
        </r>
        <r>
          <rPr>
            <sz val="9"/>
            <color indexed="81"/>
            <rFont val="Tahoma"/>
            <family val="2"/>
          </rPr>
          <t xml:space="preserve">
Provide the BarometerIT ID number for the system, if one exists.</t>
        </r>
      </text>
    </comment>
    <comment ref="C1" authorId="0" shapeId="0">
      <text>
        <r>
          <rPr>
            <b/>
            <sz val="9"/>
            <color indexed="81"/>
            <rFont val="Tahoma"/>
            <family val="2"/>
          </rPr>
          <t>Roever, Jeremy:</t>
        </r>
        <r>
          <rPr>
            <sz val="9"/>
            <color indexed="81"/>
            <rFont val="Tahoma"/>
            <family val="2"/>
          </rPr>
          <t xml:space="preserve">
Identify the Estimation Team member names for the impacted system.</t>
        </r>
      </text>
    </comment>
  </commentList>
</comments>
</file>

<file path=xl/comments7.xml><?xml version="1.0" encoding="utf-8"?>
<comments xmlns="http://schemas.openxmlformats.org/spreadsheetml/2006/main">
  <authors>
    <author>Jim Coleman</author>
  </authors>
  <commentList>
    <comment ref="D1" authorId="0" shapeId="0">
      <text>
        <r>
          <rPr>
            <b/>
            <sz val="9"/>
            <color indexed="81"/>
            <rFont val="Tahoma"/>
            <family val="2"/>
          </rPr>
          <t>Jim Coleman:</t>
        </r>
        <r>
          <rPr>
            <sz val="9"/>
            <color indexed="81"/>
            <rFont val="Tahoma"/>
            <family val="2"/>
          </rPr>
          <t xml:space="preserve">
Domains are listed here so they appear in JIRA correctly</t>
        </r>
      </text>
    </comment>
  </commentList>
</comments>
</file>

<file path=xl/connections.xml><?xml version="1.0" encoding="utf-8"?>
<connections xmlns="http://schemas.openxmlformats.org/spreadsheetml/2006/main">
  <connection id="1" name="terms" type="6" refreshedVersion="3" deleted="1" background="1" saveData="1">
    <textPr sourceFile="C:\Documents and Settings\ab24107\Desktop\terms.txt" tab="0" delimiter="-">
      <textFields count="2">
        <textField/>
        <textField/>
      </textFields>
    </textPr>
  </connection>
</connections>
</file>

<file path=xl/sharedStrings.xml><?xml version="1.0" encoding="utf-8"?>
<sst xmlns="http://schemas.openxmlformats.org/spreadsheetml/2006/main" count="1109" uniqueCount="742">
  <si>
    <t>Author:</t>
  </si>
  <si>
    <t>Term, Acronym, or Abbreviation</t>
  </si>
  <si>
    <t>Description</t>
  </si>
  <si>
    <t>Reference</t>
  </si>
  <si>
    <t>Document Name</t>
  </si>
  <si>
    <t>Document Location</t>
  </si>
  <si>
    <t>Date</t>
  </si>
  <si>
    <t>Guiding Principles</t>
  </si>
  <si>
    <t xml:space="preserve">2.1 Process Flow Diagram </t>
  </si>
  <si>
    <t>Visio Link</t>
  </si>
  <si>
    <t>PDF Link</t>
  </si>
  <si>
    <t>2.2 Use Case Diagram</t>
  </si>
  <si>
    <t>Functionality</t>
  </si>
  <si>
    <t>Usability</t>
  </si>
  <si>
    <t>Reliability</t>
  </si>
  <si>
    <t>Performance</t>
  </si>
  <si>
    <t>Supportability</t>
  </si>
  <si>
    <t>Security</t>
  </si>
  <si>
    <t>Training</t>
  </si>
  <si>
    <t>Business Rules</t>
  </si>
  <si>
    <t>N/A</t>
  </si>
  <si>
    <t>Federal</t>
  </si>
  <si>
    <t>State</t>
  </si>
  <si>
    <t>BCBS Assoc</t>
  </si>
  <si>
    <t>Corporate</t>
  </si>
  <si>
    <t>Compliance</t>
  </si>
  <si>
    <t>Assigned to</t>
  </si>
  <si>
    <t>Due Date</t>
  </si>
  <si>
    <t>Response</t>
  </si>
  <si>
    <t>Constraints</t>
  </si>
  <si>
    <t>Product</t>
  </si>
  <si>
    <t>PROCESS FLOW</t>
  </si>
  <si>
    <t>USE CASE</t>
  </si>
  <si>
    <t>Solution Lead Instructions:</t>
  </si>
  <si>
    <t xml:space="preserve">Identify all impacted systems. Next, you will capture and enter these into the Impacted Systems List using a helper application. </t>
  </si>
  <si>
    <t>Detailed instructions for using this workbook and the Helper Application at:</t>
  </si>
  <si>
    <t>DAD Impacted Systems Workbook Overview</t>
  </si>
  <si>
    <t xml:space="preserve">Link to App: </t>
  </si>
  <si>
    <t>Discovery Impacted Systems Helper Applications</t>
  </si>
  <si>
    <t>Note:  November, 2013 - There have been a several changes to the workbook.</t>
  </si>
  <si>
    <t>1)  New columns have been added that must be filled in.  (Capabilities, Components and Complexity)</t>
  </si>
  <si>
    <r>
      <rPr>
        <b/>
        <sz val="11"/>
        <color theme="1"/>
        <rFont val="Calibri"/>
        <family val="2"/>
        <scheme val="minor"/>
      </rPr>
      <t>Capabilities</t>
    </r>
    <r>
      <rPr>
        <sz val="11"/>
        <color theme="1"/>
        <rFont val="Calibri"/>
        <family val="2"/>
        <scheme val="minor"/>
      </rPr>
      <t xml:space="preserve"> will be filled in initially by the Requirements Manager but the solution lead will verify and amend as needed.  Multiples may be added in a single row as long as they apply th the requirement, system and component.</t>
    </r>
  </si>
  <si>
    <t>2)  The Repeat Requirement button hot-key value has changed from "CTRL+S" which is actually used by Excel to save the the new value of  "CTRL+SHIFT+Z".  This should be easy and natural as all three keys are together.</t>
  </si>
  <si>
    <t>3) Summarize the Capabilities by pressing CTRL+SHIFT+C.  You may now copy them from the Summary of Capabilities tab.</t>
  </si>
  <si>
    <t>Component Type</t>
  </si>
  <si>
    <t>Complexity</t>
  </si>
  <si>
    <t>Batch Programs</t>
  </si>
  <si>
    <t>1-Low</t>
  </si>
  <si>
    <t>BI Objects</t>
  </si>
  <si>
    <t>2-Low</t>
  </si>
  <si>
    <t>Business Logic Components</t>
  </si>
  <si>
    <t>3-Medium</t>
  </si>
  <si>
    <t>Common/Utility Services</t>
  </si>
  <si>
    <t>4-Medium</t>
  </si>
  <si>
    <t>COTS Configuration</t>
  </si>
  <si>
    <t>5-High</t>
  </si>
  <si>
    <t>Dashboards</t>
  </si>
  <si>
    <t>6-High</t>
  </si>
  <si>
    <t>Data Conversion Programs</t>
  </si>
  <si>
    <t>Data Logic Components</t>
  </si>
  <si>
    <t>Data Marts</t>
  </si>
  <si>
    <t>Data Models</t>
  </si>
  <si>
    <t>ETL programs</t>
  </si>
  <si>
    <t>Infogix Controls</t>
  </si>
  <si>
    <t>Interfaces</t>
  </si>
  <si>
    <t>Planview</t>
  </si>
  <si>
    <t>Presentation Components / Screens</t>
  </si>
  <si>
    <t>Reports</t>
  </si>
  <si>
    <t>Stored Procedures</t>
  </si>
  <si>
    <t>Tables</t>
  </si>
  <si>
    <t>Testing</t>
  </si>
  <si>
    <t>System Name</t>
  </si>
  <si>
    <t>Summary of Impacts</t>
  </si>
  <si>
    <t>BarometerIT ID</t>
  </si>
  <si>
    <t>Estimation Team</t>
  </si>
  <si>
    <t>User ID</t>
  </si>
  <si>
    <t>Closed Action Items:</t>
  </si>
  <si>
    <t>Open Action Items:</t>
  </si>
  <si>
    <t>Requirement Number</t>
  </si>
  <si>
    <r>
      <rPr>
        <b/>
        <sz val="11"/>
        <color theme="1"/>
        <rFont val="Calibri"/>
        <family val="2"/>
        <scheme val="minor"/>
      </rPr>
      <t>Components</t>
    </r>
    <r>
      <rPr>
        <sz val="11"/>
        <color theme="1"/>
        <rFont val="Calibri"/>
        <family val="2"/>
        <scheme val="minor"/>
      </rPr>
      <t xml:space="preserve"> will be selected from a pre-defined drop list by the solution lead. If a compnent is not listed but is deemed necessary, the Solution Lead may add it to the Component list in the Component &amp; Complexity TAB. It will be dynamically added to the drop list.  Each impacted component must be entered on a separate line with its impacts. This means that for each unique combination of system and component per business requirement, a row with impact is required.
NOTE: As of 7/1/14 we are not asking Solution Leads to complete Component Type and Complexity except under special circumstances where we would like to use pre-estimation
</t>
    </r>
  </si>
  <si>
    <r>
      <rPr>
        <b/>
        <sz val="11"/>
        <color theme="1"/>
        <rFont val="Calibri"/>
        <family val="2"/>
        <scheme val="minor"/>
      </rPr>
      <t xml:space="preserve">Complexity </t>
    </r>
    <r>
      <rPr>
        <sz val="11"/>
        <color theme="1"/>
        <rFont val="Calibri"/>
        <family val="2"/>
        <scheme val="minor"/>
      </rPr>
      <t xml:space="preserve">will be selected from a pre-defined drop list by the solution lead using the available options of low, medium and high. 
NOTE: As of 7/1/14 we are not asking Solution Leads to complete Component Type and Complexity except under special circumstances where we would like to use pre-estimation
</t>
    </r>
  </si>
  <si>
    <t>Closed (Y/N)</t>
  </si>
  <si>
    <t>Requirement Organization</t>
  </si>
  <si>
    <t xml:space="preserve">Planned For </t>
  </si>
  <si>
    <t>Commercial Migrations Initiative</t>
  </si>
  <si>
    <t>HIX</t>
  </si>
  <si>
    <t>Active projects</t>
  </si>
  <si>
    <t>Valid Submitting Division</t>
  </si>
  <si>
    <t>Actuarial</t>
  </si>
  <si>
    <t>Care Management</t>
  </si>
  <si>
    <t>Commercial</t>
  </si>
  <si>
    <t>Corporate Finance</t>
  </si>
  <si>
    <t>EBA</t>
  </si>
  <si>
    <t>FEP</t>
  </si>
  <si>
    <t>Government Business</t>
  </si>
  <si>
    <t>HCA</t>
  </si>
  <si>
    <t>Individual</t>
  </si>
  <si>
    <t>Mandates</t>
  </si>
  <si>
    <t>Marketing</t>
  </si>
  <si>
    <t>Medicaid</t>
  </si>
  <si>
    <t>Medicare</t>
  </si>
  <si>
    <t>Ops</t>
  </si>
  <si>
    <t>Pharmacy</t>
  </si>
  <si>
    <t>Provider Engagement &amp; Contracting (PE&amp;C)</t>
  </si>
  <si>
    <t>Specialty</t>
  </si>
  <si>
    <t>ITS_B2_Program_Releases</t>
  </si>
  <si>
    <t>Date Added</t>
  </si>
  <si>
    <t>Risks</t>
  </si>
  <si>
    <t>EPIC</t>
  </si>
  <si>
    <t>High Level Business Requirements</t>
  </si>
  <si>
    <t>User Stories:</t>
  </si>
  <si>
    <t>Epics:</t>
  </si>
  <si>
    <t>Capability</t>
  </si>
  <si>
    <t>Domain L0</t>
  </si>
  <si>
    <t>Domain Name</t>
  </si>
  <si>
    <t>FL1</t>
  </si>
  <si>
    <t>FL1 Name</t>
  </si>
  <si>
    <t>REF_ID</t>
  </si>
  <si>
    <t>NAME</t>
  </si>
  <si>
    <t>BAROMETER_NO</t>
  </si>
  <si>
    <t>CAPABILITY_TYPE</t>
  </si>
  <si>
    <t>CO-01</t>
  </si>
  <si>
    <t>Finance</t>
  </si>
  <si>
    <t>040Q000004PK</t>
  </si>
  <si>
    <t>OBA Domain Level 0</t>
  </si>
  <si>
    <t>CO-02</t>
  </si>
  <si>
    <t>Information Technology</t>
  </si>
  <si>
    <t>040Q000004RD</t>
  </si>
  <si>
    <t>CO-03</t>
  </si>
  <si>
    <t>020Q00007Q3C</t>
  </si>
  <si>
    <t>CO-04</t>
  </si>
  <si>
    <t>Human Resources</t>
  </si>
  <si>
    <t>040Q0000055K</t>
  </si>
  <si>
    <t>CO-05</t>
  </si>
  <si>
    <t>040Q00000564</t>
  </si>
  <si>
    <t>CO-06</t>
  </si>
  <si>
    <t>Shared Business Functions</t>
  </si>
  <si>
    <t>040Q0000056N</t>
  </si>
  <si>
    <t>CO1.1</t>
  </si>
  <si>
    <t>Financial Management</t>
  </si>
  <si>
    <t>040Q000004PL</t>
  </si>
  <si>
    <t>OBA Function Level 1</t>
  </si>
  <si>
    <t>CO1.2</t>
  </si>
  <si>
    <t>Procurement</t>
  </si>
  <si>
    <t>040Q000004PM</t>
  </si>
  <si>
    <t>CO2.1</t>
  </si>
  <si>
    <t>Governance and Management</t>
  </si>
  <si>
    <t>040Q000004RF</t>
  </si>
  <si>
    <t>CO2.2</t>
  </si>
  <si>
    <t>Customer Relationships</t>
  </si>
  <si>
    <t>040Q000004RG</t>
  </si>
  <si>
    <t>CO2.3</t>
  </si>
  <si>
    <t>Strategy and Direction</t>
  </si>
  <si>
    <t>040Q000004RH</t>
  </si>
  <si>
    <t>CO2.4</t>
  </si>
  <si>
    <t>Design and Realization</t>
  </si>
  <si>
    <t>040Q000004RJ</t>
  </si>
  <si>
    <t>CO2.5</t>
  </si>
  <si>
    <t>Transition</t>
  </si>
  <si>
    <t>040Q000004RK</t>
  </si>
  <si>
    <t>CO2.6</t>
  </si>
  <si>
    <t>Operations</t>
  </si>
  <si>
    <t>040Q000004RL</t>
  </si>
  <si>
    <t>CO2.7</t>
  </si>
  <si>
    <t>Resilience</t>
  </si>
  <si>
    <t>040Q000004RM</t>
  </si>
  <si>
    <t>CO2.8</t>
  </si>
  <si>
    <t>Administration</t>
  </si>
  <si>
    <t>040Q000004RN</t>
  </si>
  <si>
    <t>CO3.0</t>
  </si>
  <si>
    <t>Information Management (Level1)</t>
  </si>
  <si>
    <t>040Q00000D8H</t>
  </si>
  <si>
    <t>CO3.1</t>
  </si>
  <si>
    <t>Consumer Analytics and Reporting</t>
  </si>
  <si>
    <t>040Q00000K11</t>
  </si>
  <si>
    <t>CO3.10</t>
  </si>
  <si>
    <t>Analytics Platform Management</t>
  </si>
  <si>
    <t>040Q00000MQ4</t>
  </si>
  <si>
    <t>CO3.11</t>
  </si>
  <si>
    <t>Analytics Program Governance</t>
  </si>
  <si>
    <t>040Q00000MQ5</t>
  </si>
  <si>
    <t>CO3.2</t>
  </si>
  <si>
    <t>Client Analytics and Reporting</t>
  </si>
  <si>
    <t>040Q00000K12</t>
  </si>
  <si>
    <t>CO3.3</t>
  </si>
  <si>
    <t>Provider Analytics and Reporting</t>
  </si>
  <si>
    <t>040Q00000K13</t>
  </si>
  <si>
    <t>CO3.4</t>
  </si>
  <si>
    <t>Financial Analytics and Reporting</t>
  </si>
  <si>
    <t>040Q00000K14</t>
  </si>
  <si>
    <t>CO3.5</t>
  </si>
  <si>
    <t>Revenue Analytics and Reporting</t>
  </si>
  <si>
    <t>040Q00000K15</t>
  </si>
  <si>
    <t>CO3.6</t>
  </si>
  <si>
    <t>Underwriting Analytics</t>
  </si>
  <si>
    <t>040Q00000MQ0</t>
  </si>
  <si>
    <t>CO3.7</t>
  </si>
  <si>
    <t>Service Operations Analytics and Reporting</t>
  </si>
  <si>
    <t>040Q00000MQ1</t>
  </si>
  <si>
    <t>CO3.8</t>
  </si>
  <si>
    <t>Mandate and Regulatory Reporting</t>
  </si>
  <si>
    <t>040Q00000MQ2</t>
  </si>
  <si>
    <t>CO3.9</t>
  </si>
  <si>
    <t>Analytics Program Integrity</t>
  </si>
  <si>
    <t>040Q00000MQ3</t>
  </si>
  <si>
    <t>CO4.1</t>
  </si>
  <si>
    <t>Talent Management</t>
  </si>
  <si>
    <t>040Q0000055L</t>
  </si>
  <si>
    <t>CO4.2</t>
  </si>
  <si>
    <t>HR Administration</t>
  </si>
  <si>
    <t>040Q0000055M</t>
  </si>
  <si>
    <t>CO5.1</t>
  </si>
  <si>
    <t>Legal Services</t>
  </si>
  <si>
    <t>040Q00000565</t>
  </si>
  <si>
    <t>CO5.2</t>
  </si>
  <si>
    <t>Compliance Management</t>
  </si>
  <si>
    <t>040Q00000566</t>
  </si>
  <si>
    <t>CO5.3</t>
  </si>
  <si>
    <t>Internal Audit</t>
  </si>
  <si>
    <t>040Q00000MQ6</t>
  </si>
  <si>
    <t>Internal Audit 5.3</t>
  </si>
  <si>
    <t>040Q00000567</t>
  </si>
  <si>
    <t>CO6.1</t>
  </si>
  <si>
    <t>Content Management</t>
  </si>
  <si>
    <t>040Q0000056P</t>
  </si>
  <si>
    <t>CO6.2</t>
  </si>
  <si>
    <t>Constituent Correspondence and Services</t>
  </si>
  <si>
    <t>040Q0000056Q</t>
  </si>
  <si>
    <t>CO6.3</t>
  </si>
  <si>
    <t>Data Exchange</t>
  </si>
  <si>
    <t>040Q0000056R</t>
  </si>
  <si>
    <t>CO6.4</t>
  </si>
  <si>
    <t>Associate Services</t>
  </si>
  <si>
    <t>040Q0000056S</t>
  </si>
  <si>
    <t>PB01</t>
  </si>
  <si>
    <t>Provider and Network Management</t>
  </si>
  <si>
    <t>020Q00007Q39</t>
  </si>
  <si>
    <t>PB02</t>
  </si>
  <si>
    <t>020Q00007Q3A</t>
  </si>
  <si>
    <t>PB-03</t>
  </si>
  <si>
    <t>Pricing and Underwriting</t>
  </si>
  <si>
    <t>040Q0000005R</t>
  </si>
  <si>
    <t>PB-04</t>
  </si>
  <si>
    <t>040Q0000005S</t>
  </si>
  <si>
    <t>PB-05</t>
  </si>
  <si>
    <t>Sales</t>
  </si>
  <si>
    <t>040Q0000005T</t>
  </si>
  <si>
    <t>PB-06</t>
  </si>
  <si>
    <t>020Q00007Q3B</t>
  </si>
  <si>
    <t>PB-07</t>
  </si>
  <si>
    <t>Claims Management</t>
  </si>
  <si>
    <t>020Q00007PT1</t>
  </si>
  <si>
    <t>PB-08</t>
  </si>
  <si>
    <t>Member and Employer Servicing</t>
  </si>
  <si>
    <t>020Q00007Q35</t>
  </si>
  <si>
    <t>PB-09</t>
  </si>
  <si>
    <t>040Q000000CY</t>
  </si>
  <si>
    <t>PB1.1</t>
  </si>
  <si>
    <t>Network Management</t>
  </si>
  <si>
    <t>040Q00000063</t>
  </si>
  <si>
    <t>PB1.2</t>
  </si>
  <si>
    <t>Provider Contracting</t>
  </si>
  <si>
    <t>040Q0000006H</t>
  </si>
  <si>
    <t>PB1.3</t>
  </si>
  <si>
    <t>Provider Credentialing</t>
  </si>
  <si>
    <t>040Q0000006X</t>
  </si>
  <si>
    <t>PB1.4</t>
  </si>
  <si>
    <t>Provider Servicing</t>
  </si>
  <si>
    <t>020Q00007WWY</t>
  </si>
  <si>
    <t>PB10</t>
  </si>
  <si>
    <t>Care Delivery and Coordination</t>
  </si>
  <si>
    <t>040Q00000K03</t>
  </si>
  <si>
    <t>PB10.1</t>
  </si>
  <si>
    <t>Provider Clinical Workflow</t>
  </si>
  <si>
    <t>040Q00000K04</t>
  </si>
  <si>
    <t>PB10.2</t>
  </si>
  <si>
    <t>Provider Clinical Care</t>
  </si>
  <si>
    <t>040Q00000K05</t>
  </si>
  <si>
    <t>PB10.3</t>
  </si>
  <si>
    <t>Provider Care Coordination</t>
  </si>
  <si>
    <t>040Q00000K06</t>
  </si>
  <si>
    <t>PB2.1</t>
  </si>
  <si>
    <t>Product Design</t>
  </si>
  <si>
    <t>040Q00000089</t>
  </si>
  <si>
    <t>PB2.2</t>
  </si>
  <si>
    <t>Build and Configure Products</t>
  </si>
  <si>
    <t>040Q0000008K</t>
  </si>
  <si>
    <t>PB2.3</t>
  </si>
  <si>
    <t>Product Go-To Market</t>
  </si>
  <si>
    <t>040Q00000093</t>
  </si>
  <si>
    <t>PB2.4</t>
  </si>
  <si>
    <t>Product Portfolio Management</t>
  </si>
  <si>
    <t>040Q0000009D</t>
  </si>
  <si>
    <t>PB2.5</t>
  </si>
  <si>
    <t>Product Governance</t>
  </si>
  <si>
    <t>040Q00000MQ7</t>
  </si>
  <si>
    <t>PB3.1</t>
  </si>
  <si>
    <t>Pricing Methodology Development</t>
  </si>
  <si>
    <t>040Q0000009K</t>
  </si>
  <si>
    <t>PB3.2</t>
  </si>
  <si>
    <t>Pricing and Underwriting Tool Management</t>
  </si>
  <si>
    <t>040Q0000009U</t>
  </si>
  <si>
    <t>PB3.3</t>
  </si>
  <si>
    <t>Premium Development</t>
  </si>
  <si>
    <t>040Q000000A7</t>
  </si>
  <si>
    <t>PB4.1</t>
  </si>
  <si>
    <t>Strategic Marketing</t>
  </si>
  <si>
    <t>040Q000000P4</t>
  </si>
  <si>
    <t>PB4.2</t>
  </si>
  <si>
    <t>Product Marketing</t>
  </si>
  <si>
    <t>040Q000000PF</t>
  </si>
  <si>
    <t>PB4.3</t>
  </si>
  <si>
    <t>Campaign Management</t>
  </si>
  <si>
    <t>040Q000000PS</t>
  </si>
  <si>
    <t>PB4.4</t>
  </si>
  <si>
    <t>Marketing Research and Analysis</t>
  </si>
  <si>
    <t>040Q000000Q9</t>
  </si>
  <si>
    <t>PB5.1</t>
  </si>
  <si>
    <t>Lead Management</t>
  </si>
  <si>
    <t>040Q0000008B</t>
  </si>
  <si>
    <t>PB5.2</t>
  </si>
  <si>
    <t>Opportunity Management</t>
  </si>
  <si>
    <t>040Q000000AU</t>
  </si>
  <si>
    <t>PB5.3</t>
  </si>
  <si>
    <t>Proposal and Quoting</t>
  </si>
  <si>
    <t>040Q000000B9</t>
  </si>
  <si>
    <t>PB5.4</t>
  </si>
  <si>
    <t>Account Management</t>
  </si>
  <si>
    <t>040Q000000NY</t>
  </si>
  <si>
    <t>PB5.5</t>
  </si>
  <si>
    <t>Sales Channel Management</t>
  </si>
  <si>
    <t>040Q0000005W</t>
  </si>
  <si>
    <t>PB6.1</t>
  </si>
  <si>
    <t>Health Program Management</t>
  </si>
  <si>
    <t>040Q000000T2</t>
  </si>
  <si>
    <t>PB6.2</t>
  </si>
  <si>
    <t>Utilization Management</t>
  </si>
  <si>
    <t>040Q0000005Y</t>
  </si>
  <si>
    <t>PB6.3</t>
  </si>
  <si>
    <t>Health and Wellness</t>
  </si>
  <si>
    <t>040Q000000V8</t>
  </si>
  <si>
    <t>PB7.1</t>
  </si>
  <si>
    <t>Claim Acquisition</t>
  </si>
  <si>
    <t>040Q000000NK</t>
  </si>
  <si>
    <t>PB7.2</t>
  </si>
  <si>
    <t>Claims Validation</t>
  </si>
  <si>
    <t>040Q000000RC</t>
  </si>
  <si>
    <t>PB7.3</t>
  </si>
  <si>
    <t>Claim Adjudication</t>
  </si>
  <si>
    <t>040Q000000RE</t>
  </si>
  <si>
    <t>PB7.4</t>
  </si>
  <si>
    <t>Claim Settlement</t>
  </si>
  <si>
    <t>040Q000000RZ</t>
  </si>
  <si>
    <t>PB7.5</t>
  </si>
  <si>
    <t>Claim Services</t>
  </si>
  <si>
    <t>040Q000000SH</t>
  </si>
  <si>
    <t>PB8.1</t>
  </si>
  <si>
    <t>Enrollment</t>
  </si>
  <si>
    <t>020Q00007R0D</t>
  </si>
  <si>
    <t>PB8.2</t>
  </si>
  <si>
    <t>Billing</t>
  </si>
  <si>
    <t>020Q00007Q7R</t>
  </si>
  <si>
    <t>PB9.1</t>
  </si>
  <si>
    <t>Service Request Resolution</t>
  </si>
  <si>
    <t>040Q00000062</t>
  </si>
  <si>
    <t>PB9.2</t>
  </si>
  <si>
    <t>Service Management</t>
  </si>
  <si>
    <t>040Q000000OY</t>
  </si>
  <si>
    <t>PB9.3</t>
  </si>
  <si>
    <t>Contact Center 9.3</t>
  </si>
  <si>
    <t>040Q00000K01</t>
  </si>
  <si>
    <t>PB9.4</t>
  </si>
  <si>
    <t>Workforce Optimization</t>
  </si>
  <si>
    <t>040Q00000K02</t>
  </si>
  <si>
    <t>National</t>
  </si>
  <si>
    <t>Central</t>
  </si>
  <si>
    <t>East</t>
  </si>
  <si>
    <t>West</t>
  </si>
  <si>
    <t>North</t>
  </si>
  <si>
    <t>South</t>
  </si>
  <si>
    <t>AL     </t>
  </si>
  <si>
    <t>AK     </t>
  </si>
  <si>
    <t>AZ    </t>
  </si>
  <si>
    <t>AR     </t>
  </si>
  <si>
    <t>CA     </t>
  </si>
  <si>
    <t>CO    </t>
  </si>
  <si>
    <t>CT     </t>
  </si>
  <si>
    <t>DE     </t>
  </si>
  <si>
    <t>FL     </t>
  </si>
  <si>
    <t>GA    </t>
  </si>
  <si>
    <t>HI     </t>
  </si>
  <si>
    <t>ID     </t>
  </si>
  <si>
    <t>IL     </t>
  </si>
  <si>
    <t>IN     </t>
  </si>
  <si>
    <t>IA     </t>
  </si>
  <si>
    <t>KS     </t>
  </si>
  <si>
    <t>KY     </t>
  </si>
  <si>
    <t>LA     </t>
  </si>
  <si>
    <t>ME    </t>
  </si>
  <si>
    <t>MD    </t>
  </si>
  <si>
    <t>MA    </t>
  </si>
  <si>
    <t>MI    </t>
  </si>
  <si>
    <t>MN    </t>
  </si>
  <si>
    <t>MT    </t>
  </si>
  <si>
    <t>MS    </t>
  </si>
  <si>
    <t>MO    </t>
  </si>
  <si>
    <t>NE</t>
  </si>
  <si>
    <t>NV</t>
  </si>
  <si>
    <t>NH</t>
  </si>
  <si>
    <t>NJ</t>
  </si>
  <si>
    <t>NM</t>
  </si>
  <si>
    <t>NY</t>
  </si>
  <si>
    <t>NC</t>
  </si>
  <si>
    <t>ND</t>
  </si>
  <si>
    <t>OH</t>
  </si>
  <si>
    <t>OK</t>
  </si>
  <si>
    <t>OR</t>
  </si>
  <si>
    <t>PA</t>
  </si>
  <si>
    <t>RI</t>
  </si>
  <si>
    <t>SC</t>
  </si>
  <si>
    <t>SD</t>
  </si>
  <si>
    <t>TN</t>
  </si>
  <si>
    <t>TX</t>
  </si>
  <si>
    <t>UT</t>
  </si>
  <si>
    <t>VT</t>
  </si>
  <si>
    <t>VA</t>
  </si>
  <si>
    <t>WA</t>
  </si>
  <si>
    <t>WV</t>
  </si>
  <si>
    <t>WI</t>
  </si>
  <si>
    <t>WY</t>
  </si>
  <si>
    <t>Enterprise</t>
  </si>
  <si>
    <t>Commercial Labor &amp; Trust</t>
  </si>
  <si>
    <t>CDHP (Consumer Driven Health Plan), HRA (Health Reimbursement Account), or HSA (Health Savings Account)</t>
  </si>
  <si>
    <t>Health Plan BPO Services Analytics Services</t>
  </si>
  <si>
    <t>Health Plan BPO Services Subrogation Services</t>
  </si>
  <si>
    <t>Health Plan BPO Services TPA Services</t>
  </si>
  <si>
    <t>Health Plan BPO Services Utilization Management Services</t>
  </si>
  <si>
    <t>Medical Plan</t>
  </si>
  <si>
    <t>Medical Plan Behavioral Health</t>
  </si>
  <si>
    <t>Medical Plan Health &amp; Wellness</t>
  </si>
  <si>
    <t>Specialty Dental</t>
  </si>
  <si>
    <t>Specialty Employee Assistance Program</t>
  </si>
  <si>
    <t>Specialty Hearing</t>
  </si>
  <si>
    <t>Specialty Life &amp; Disability</t>
  </si>
  <si>
    <t>Specialty Vision</t>
  </si>
  <si>
    <t>Specialty Voluntary</t>
  </si>
  <si>
    <t>Specialty Worker's Compensation</t>
  </si>
  <si>
    <t>Other (supplemental benefits)</t>
  </si>
  <si>
    <t>Constituent Service Management</t>
  </si>
  <si>
    <t>Analytics</t>
  </si>
  <si>
    <t>CWI Priority/Initiative</t>
  </si>
  <si>
    <t>OBA L0-L2 Name Listing</t>
  </si>
  <si>
    <t>OBA L0-L1 Name</t>
  </si>
  <si>
    <t>Development and ongoing maintenance of provider networks, including individual physicians, group practices and care facilities (e.g., inpatient and outpatient facilities, hospital systems) that offer Anthem members with the lowest cost, highest quality</t>
  </si>
  <si>
    <t>Identification and administration of a provider network through strategy development, analysis, and evaluation of target providers and facilities based on Anthem cost, quality and accessibility objectives</t>
  </si>
  <si>
    <t>Development and management of contractual agreements with Anthem providers and facilities</t>
  </si>
  <si>
    <t>Continuous validation of provider accreditations and affiliations</t>
  </si>
  <si>
    <t>Development and delivery of tools, solutions, services and communications to providers regarding network and member topics, as well as support in resolving provider inquiries</t>
  </si>
  <si>
    <t>Management of Care Delivery where Anthem owned divisions are providing care to patients and where Anthem provides Care Coordination with other health care providers.</t>
  </si>
  <si>
    <t>Management of Anthem programs designed to support and empower members as they manage existing conditions, transition to a healthier lifestyle, and efficiently utilize Care</t>
  </si>
  <si>
    <t>Management of Anthem's case, disease, and health and wellness management programs</t>
  </si>
  <si>
    <t>Development and execution of care utilization policies and practices</t>
  </si>
  <si>
    <t>Development, implementation, management, and analysis related to wellness programs</t>
  </si>
  <si>
    <t>Review, editing and validation of a claim from receipt through settlement</t>
  </si>
  <si>
    <t>The receipt of a claim via Electronic Submission  (HIPAA 837 format for Medical) or Paper into the EDI.</t>
  </si>
  <si>
    <t>Process within the Claims System that is used to validate, edit, and gather data to enrich the claim record preparing the claim to be Priced and Adjudicated.  The Claim Validation flow is used to support the error correction and capture claim decisions.</t>
  </si>
  <si>
    <t>Process within the Claims System to determine the financial responsibility based upon the Members Contract Benefits.  Creates the EOB Message Codes to explain adjudication results, updates claims history and accumulators.</t>
  </si>
  <si>
    <t>Processes within the Claims System that are done after Claims Adjudication to support Claims Adjustments, Shared Accumulator Sync, Member Out-o-pocket OOP Payment Coordination, and other Claims support after Claim Finalization.</t>
  </si>
  <si>
    <t>Supporting processes within the Claims System to support inquire, Claims Route, Claims Correct, and other Claims tools.</t>
  </si>
  <si>
    <t>Management and oversight of the processes and governance of the service framework through which requests from constituents/customers (e.g., providers, employers, members, brokers, government agencies) are serviced.</t>
  </si>
  <si>
    <t>Management of all aspects of service operations to deliver maximum customer satisfaction with most effective operational cost and workforce utilization.</t>
  </si>
  <si>
    <t>Delivery of information or performing service work to customers / constituents.</t>
  </si>
  <si>
    <t>Day-to-day operational support of the management processes related to constituent services.</t>
  </si>
  <si>
    <t>Management of contacts (inbound and outbound) with external constituencies through available service channels (e.g. phone, mail, chat etc.) and media (e.g. web, mobile, voice).</t>
  </si>
  <si>
    <t>Deals with the funding and the capital structure of Anthem and the actions taken to increase the value of Anthem to its shareholders. This domain includes the tools and processes to allocate and manage funds to support Anthem operations (e.g. planning, au</t>
  </si>
  <si>
    <t>Involves the efficient and effective management of money to achieve the objectives of Anthem. Financial management include the collection management of cash, reconciliation of payments from Anthem, financial forecasting, generation of needed financial rep</t>
  </si>
  <si>
    <t>Deals with the sourcing of goods and services to support Anthem business. Procurement team define the processes and policies and implement systems to ensure high quality goods and services needed by Anthem are acquired at the bests possible cost and in a</t>
  </si>
  <si>
    <t>Deals with the management of Anthem employee information with focus on the increase of the performance of employees, maintaining employees' satisfaction and defining/evolving Anthem corporate culture. More specifically, the HR domain involves the processe</t>
  </si>
  <si>
    <t>Enhance People Capability to meet business objectives.</t>
  </si>
  <si>
    <t>Deliver HR transactions efficiently and effectively.</t>
  </si>
  <si>
    <t>Provides an operational view of the Information Technology functions including the strategy, planning, and architectural direction, along with the design and development of applications and tools, their implementation and production management.  This IT O</t>
  </si>
  <si>
    <t>Overall governance and management of IT goals, policies, processes, capabilities, and services</t>
  </si>
  <si>
    <t>Management of the interfaces to IT customers including requirements, product and service offerings, service levels, and satisfaction</t>
  </si>
  <si>
    <t>Guides the strategy and planning of the IT organization including innovation, architecture, and portfolio management</t>
  </si>
  <si>
    <t>Design and development of IT assets, products, and services</t>
  </si>
  <si>
    <t>Transition of development solutions into production operations including change management, release management, and deployment</t>
  </si>
  <si>
    <t>Production operations of IT assets, products, and services</t>
  </si>
  <si>
    <t>Ensures the ongoing operation of IT assets, products, and services</t>
  </si>
  <si>
    <t>Administration of IT finances, suppliers, contracts, workforce, skills, and knowledge</t>
  </si>
  <si>
    <t>Legal &amp; Compliance</t>
  </si>
  <si>
    <t>Manages all aspects of internal and external legal services, including contracts, as well as compliance management and auditing.</t>
  </si>
  <si>
    <t>Involves processes, policies, best practices and systems to ensure Anthem conducts its business effectively and in accord with the legal and policy requirements.</t>
  </si>
  <si>
    <t>Involves identifying and implementing best practices as well exploring opportunities for process improvements.  Compliance management team supports the Chief Compliance Officer and the Chief Ethics and Privacy Officer with management and oversight of enterprise</t>
  </si>
  <si>
    <t>Development, promotion and strengthening of Anthem's brand(s) architecture and product images</t>
  </si>
  <si>
    <t>Development and management of an enterprise marketing and brand strategy, with associated brand campaigns to enhance consumer/member awareness, perception, and promote Anthem’s mission and core values</t>
  </si>
  <si>
    <t>Development and management of product marketing campaigns to increase sales and improve consumer awareness and perception of Anthem products</t>
  </si>
  <si>
    <t>Development and execution of initiatives with specific predefined offers, targets and timelines to induce prospects or current customers to conduct business with Anthem</t>
  </si>
  <si>
    <t>Collection and analysis of market, competitor, regulatory and consumer information to strengthen market position, product/brand awareness, and perception</t>
  </si>
  <si>
    <t>Provision of enrollment, benefits, coverage, billing and payments support to members and employers</t>
  </si>
  <si>
    <t>Registration of members and  groups in order to receive benefits and services provided by a contracted health plan or policy</t>
  </si>
  <si>
    <t>Generation and distribution of bills to employers and members so that payments for a health plan or policy may be accepted and processed</t>
  </si>
  <si>
    <t>Analysis of group and member experience and other supporting attributes (provider, product) in order to assess and price risk appropriately</t>
  </si>
  <si>
    <t>Identification, determination, and development of inputs, components, and factors in order to develop rating algorithms and methodologies</t>
  </si>
  <si>
    <t>Loading, programming and management of rating attributes, rules, tables, and algorithms via systems and applications</t>
  </si>
  <si>
    <t>Application and review of rating methodologies in order to determine the premium of an underwritten policy</t>
  </si>
  <si>
    <t>Management of Anthem products from inception to retirement</t>
  </si>
  <si>
    <t>Design and development of new or existing products from a core set of standardized and modular components</t>
  </si>
  <si>
    <t>Management and compilation of modular product components to set up product structure</t>
  </si>
  <si>
    <t>Preparation and launch activities in support of a product</t>
  </si>
  <si>
    <t>Ongoing review and maintenance of Anthem's product portfolio</t>
  </si>
  <si>
    <t>Business and IT Product Governance Functions</t>
  </si>
  <si>
    <t>Selling of Anthem products and services to different consumer segments (e.g. National Accounts, Individual) through various sales channels (e.g. Anthem account representatives, brokers, Internet)</t>
  </si>
  <si>
    <t>Identification of potential customer leads and distribution of those leads to Anthem sales force</t>
  </si>
  <si>
    <t>Development of sales proposal forecasts and material to support the initiation and closing of a sale</t>
  </si>
  <si>
    <t>Development of a proposal and quote based on a client request</t>
  </si>
  <si>
    <t>Management, servicing and maintenance of account functions</t>
  </si>
  <si>
    <t>Management of Anthem's various sales channels, including Anthem’s internal sales force, and producers/brokers</t>
  </si>
  <si>
    <t>Development and ongoing management of services and functions which support and enable the core business domains</t>
  </si>
  <si>
    <t>Classification and Life Cycle Management of content including documents, publications and images</t>
  </si>
  <si>
    <t>Generation, handling, search and retrieval of specific content instances such as an EOB or Member notification</t>
  </si>
  <si>
    <t>Trading Partner Data Exchange and Management</t>
  </si>
  <si>
    <t>Communications, collaboration, social and self-service for internal associates and internal work processes</t>
  </si>
  <si>
    <r>
      <t xml:space="preserve">REQID
</t>
    </r>
    <r>
      <rPr>
        <b/>
        <sz val="10"/>
        <color rgb="FFFFFF00"/>
        <rFont val="Calibri"/>
        <family val="2"/>
        <scheme val="minor"/>
      </rPr>
      <t>(JIRA Title)</t>
    </r>
    <r>
      <rPr>
        <b/>
        <sz val="10"/>
        <rFont val="Calibri"/>
        <family val="2"/>
        <scheme val="minor"/>
      </rPr>
      <t xml:space="preserve">
</t>
    </r>
    <r>
      <rPr>
        <b/>
        <sz val="10"/>
        <color theme="0"/>
        <rFont val="Calibri"/>
        <family val="2"/>
        <scheme val="minor"/>
      </rPr>
      <t>(Required)</t>
    </r>
  </si>
  <si>
    <t>Issue Types</t>
  </si>
  <si>
    <t>Contributor(s):</t>
  </si>
  <si>
    <t>End of GADCR</t>
  </si>
  <si>
    <t>Story</t>
  </si>
  <si>
    <t>NewSection</t>
  </si>
  <si>
    <t>JIRA Reporter Domain ID</t>
  </si>
  <si>
    <t>CWI Intake Link</t>
  </si>
  <si>
    <t>Initiation Documentation SharePoint Site</t>
  </si>
  <si>
    <t>Detail Req Type</t>
  </si>
  <si>
    <t>Regulatory</t>
  </si>
  <si>
    <t>Dependencies</t>
  </si>
  <si>
    <t>Work Request Intake Record</t>
  </si>
  <si>
    <t>Initiation Ready-Set-Go / Kickoff Deck</t>
  </si>
  <si>
    <t>** Not Applicable</t>
  </si>
  <si>
    <t>&lt;Root Directory to Initiation SharePoint Documentation Site for the project&gt;</t>
  </si>
  <si>
    <t>Initiation Order</t>
  </si>
  <si>
    <r>
      <t xml:space="preserve">WAVE ID </t>
    </r>
    <r>
      <rPr>
        <b/>
        <i/>
        <sz val="9"/>
        <color rgb="FFFF0000"/>
        <rFont val="Calibri"/>
        <family val="2"/>
        <scheme val="minor"/>
      </rPr>
      <t>(NOT applicable for all)</t>
    </r>
  </si>
  <si>
    <t>REQID</t>
  </si>
  <si>
    <r>
      <t xml:space="preserve">Notes
</t>
    </r>
    <r>
      <rPr>
        <b/>
        <sz val="10"/>
        <color rgb="FFFFFF00"/>
        <rFont val="Calibri"/>
        <family val="2"/>
        <scheme val="minor"/>
      </rPr>
      <t xml:space="preserve">(JIRA Description)
</t>
    </r>
    <r>
      <rPr>
        <b/>
        <sz val="10"/>
        <color theme="0"/>
        <rFont val="Calibri"/>
        <family val="2"/>
        <scheme val="minor"/>
      </rPr>
      <t>(Optional)</t>
    </r>
  </si>
  <si>
    <r>
      <t xml:space="preserve">Business Identified Impacted Areas
</t>
    </r>
    <r>
      <rPr>
        <b/>
        <sz val="10"/>
        <color rgb="FFFFFF00"/>
        <rFont val="Calibri"/>
        <family val="2"/>
        <scheme val="minor"/>
      </rPr>
      <t>(JIRA Description)</t>
    </r>
    <r>
      <rPr>
        <b/>
        <sz val="10"/>
        <color theme="1"/>
        <rFont val="Calibri"/>
        <family val="2"/>
        <scheme val="minor"/>
      </rPr>
      <t xml:space="preserve">
</t>
    </r>
    <r>
      <rPr>
        <b/>
        <sz val="10"/>
        <color theme="0"/>
        <rFont val="Calibri"/>
        <family val="2"/>
        <scheme val="minor"/>
      </rPr>
      <t>(Optional)</t>
    </r>
  </si>
  <si>
    <t>Notes</t>
  </si>
  <si>
    <t>Date
Changed</t>
  </si>
  <si>
    <t>US Domain of User Who Made the Change</t>
  </si>
  <si>
    <t>LABEL</t>
  </si>
  <si>
    <t>IT Identified Impacted Areas</t>
  </si>
  <si>
    <t>Business Identified Impacted Areas</t>
  </si>
  <si>
    <t>Contributors</t>
  </si>
  <si>
    <t>Issue Type Title Summary</t>
  </si>
  <si>
    <t>&lt;link&gt;</t>
  </si>
  <si>
    <t xml:space="preserve">The collections, analysis, enrichment, supporting platforms, and distribution of analytic information along with insights gained through the processing of that analytic information.
Questions To Ask: 
1. What kind of data would need to appear on the report?
a. Examples: claims, membership, H&amp;W
b. Are you looking for a report or an extract file?
2. What is the general purpose of the report?
3. In a general sense how many fields would be on the report?
a. This can be a range for example 10-20 fields
4. Who is the end user of the report?
5. How often should the report be run?
6. How will the report be delivered?
7. Is this a temp report?
a. If so, how long will the report be needed?
8. What format do you want to see the report?    
9. If you are wanting to mirror another report, Please provide the sample or report number.
10. Record the contributor that provided the information above. 
</t>
  </si>
  <si>
    <t>Questions to ask in support of capturing Reporting Requirements:</t>
  </si>
  <si>
    <t xml:space="preserve">1. What kind of data would need to appear on the report?
a. Examples: claims, membership, H&amp;W
b. Are you looking for a report or an extract file?
2. What is the general purpose of the report?
3. In a general sense how many fields would be on the report?
a. This can be a range for example 10-20 fields
4. Who is the end user of the report?
5. How often should the report be run?
6. How will the report be delivered?
7. Is this a temp report?
a. If so, how long will the report be needed?
8. What format do you want to see the report?    
9. If you are wanting to mirror another report, Please provide the sample or report number.
10. Record the contributor that provided the information above. 
</t>
  </si>
  <si>
    <r>
      <t xml:space="preserve">Issue Type Title/Summary
</t>
    </r>
    <r>
      <rPr>
        <b/>
        <sz val="10"/>
        <color rgb="FFFFFF00"/>
        <rFont val="Calibri"/>
        <family val="2"/>
        <scheme val="minor"/>
      </rPr>
      <t>(JIRA Title)</t>
    </r>
    <r>
      <rPr>
        <b/>
        <sz val="10"/>
        <rFont val="Calibri"/>
        <family val="2"/>
        <scheme val="minor"/>
      </rPr>
      <t xml:space="preserve">
</t>
    </r>
    <r>
      <rPr>
        <b/>
        <sz val="10"/>
        <color theme="0"/>
        <rFont val="Calibri"/>
        <family val="2"/>
        <scheme val="minor"/>
      </rPr>
      <t>(Required)</t>
    </r>
  </si>
  <si>
    <r>
      <t xml:space="preserve">Acceptance Criteria
</t>
    </r>
    <r>
      <rPr>
        <b/>
        <sz val="10"/>
        <color rgb="FFFFFF00"/>
        <rFont val="Calibri"/>
        <family val="2"/>
        <scheme val="minor"/>
      </rPr>
      <t>(JIRA Acceptance Criteria)</t>
    </r>
    <r>
      <rPr>
        <b/>
        <sz val="10"/>
        <rFont val="Calibri"/>
        <family val="2"/>
        <scheme val="minor"/>
      </rPr>
      <t xml:space="preserve">
</t>
    </r>
    <r>
      <rPr>
        <b/>
        <sz val="10"/>
        <color theme="0"/>
        <rFont val="Calibri"/>
        <family val="2"/>
        <scheme val="minor"/>
      </rPr>
      <t>(Optional)</t>
    </r>
  </si>
  <si>
    <t>Acceptance Criteria</t>
  </si>
  <si>
    <t>Total Action Items:</t>
  </si>
  <si>
    <t>Capabilities:</t>
  </si>
  <si>
    <t>Solution Responses:</t>
  </si>
  <si>
    <t>Assumptions</t>
  </si>
  <si>
    <t>Please see the 'About' worksheet for Important Information to take into consideration when using this template.</t>
  </si>
  <si>
    <t>JIRA Initiative Issue Type's "Initiative Work ID"</t>
  </si>
  <si>
    <t>JIRA Initiative Issue Type's Assigned (Key) ID</t>
  </si>
  <si>
    <t>IT Delivery Manager's Name</t>
  </si>
  <si>
    <t>IT Delivery Manager's US Domain ID</t>
  </si>
  <si>
    <r>
      <t>Document Metrics</t>
    </r>
    <r>
      <rPr>
        <b/>
        <sz val="11"/>
        <rFont val="Calibri"/>
        <family val="2"/>
        <scheme val="minor"/>
      </rPr>
      <t xml:space="preserve"> </t>
    </r>
    <r>
      <rPr>
        <b/>
        <i/>
        <sz val="11"/>
        <rFont val="Calibri"/>
        <family val="2"/>
        <scheme val="minor"/>
      </rPr>
      <t>(auto-calculated)</t>
    </r>
  </si>
  <si>
    <t>IMPORTANT: Do NOT delete this row or the orange row below.  The Orange row is reserved for Header information only.  The Header information is independent of the Initiation Services BRD Template.  You should ensure that the Header information entered helps you identify the intent/context of the column's data.  This information will be used to identify the columns you want to convert/map to the 'EPICS' worksheet.  Your data MUST start on the THIRD row for the conversion to work appropriately.</t>
  </si>
  <si>
    <r>
      <t xml:space="preserve">WID ID </t>
    </r>
    <r>
      <rPr>
        <b/>
        <i/>
        <sz val="10"/>
        <rFont val="Calibri"/>
        <family val="2"/>
        <scheme val="minor"/>
      </rPr>
      <t>(Pulled from Work ID - must include "WID" prefix)</t>
    </r>
  </si>
  <si>
    <r>
      <t xml:space="preserve">Number of EPICs/User Stories </t>
    </r>
    <r>
      <rPr>
        <b/>
        <i/>
        <sz val="9"/>
        <color theme="1"/>
        <rFont val="Calibri"/>
        <family val="2"/>
        <scheme val="minor"/>
      </rPr>
      <t>(auto-calculated)</t>
    </r>
  </si>
  <si>
    <r>
      <t xml:space="preserve">Issue Type Title Summary
</t>
    </r>
    <r>
      <rPr>
        <sz val="9"/>
        <color theme="1"/>
        <rFont val="Calibri"/>
        <family val="2"/>
        <scheme val="minor"/>
      </rPr>
      <t>Issue Type Title Summary of the Requirement from the EPICS tab.</t>
    </r>
    <r>
      <rPr>
        <b/>
        <sz val="9"/>
        <color theme="0"/>
        <rFont val="Calibri"/>
        <family val="2"/>
        <scheme val="minor"/>
      </rPr>
      <t xml:space="preserve">
(Required)</t>
    </r>
  </si>
  <si>
    <r>
      <t>REQID</t>
    </r>
    <r>
      <rPr>
        <sz val="9"/>
        <color theme="1"/>
        <rFont val="Calibri"/>
        <family val="2"/>
        <scheme val="minor"/>
      </rPr>
      <t xml:space="preserve">
The REQID from the EPICS tab.
</t>
    </r>
    <r>
      <rPr>
        <b/>
        <sz val="9"/>
        <color theme="0"/>
        <rFont val="Calibri"/>
        <family val="2"/>
        <scheme val="minor"/>
      </rPr>
      <t>(Required)</t>
    </r>
  </si>
  <si>
    <r>
      <t xml:space="preserve">Issue Type
</t>
    </r>
    <r>
      <rPr>
        <sz val="9"/>
        <color theme="1"/>
        <rFont val="Calibri"/>
        <family val="2"/>
        <scheme val="minor"/>
      </rPr>
      <t xml:space="preserve">The Issue Type from the EPICS tab. (i.e. NewSection, Capability, EPIC, or Story)
</t>
    </r>
    <r>
      <rPr>
        <b/>
        <sz val="9"/>
        <color theme="0"/>
        <rFont val="Calibri"/>
        <family val="2"/>
        <scheme val="minor"/>
      </rPr>
      <t>(Required)</t>
    </r>
  </si>
  <si>
    <t>Known Issues:</t>
  </si>
  <si>
    <r>
      <t xml:space="preserve">Need By Date
</t>
    </r>
    <r>
      <rPr>
        <b/>
        <sz val="10"/>
        <color rgb="FFFFFF00"/>
        <rFont val="Calibri"/>
        <family val="2"/>
        <scheme val="minor"/>
      </rPr>
      <t>(JIRA Need By Date)</t>
    </r>
    <r>
      <rPr>
        <b/>
        <sz val="10"/>
        <rFont val="Calibri"/>
        <family val="2"/>
        <scheme val="minor"/>
      </rPr>
      <t xml:space="preserve">
</t>
    </r>
    <r>
      <rPr>
        <b/>
        <sz val="10"/>
        <color theme="0"/>
        <rFont val="Calibri"/>
        <family val="2"/>
        <scheme val="minor"/>
      </rPr>
      <t>(Optional)</t>
    </r>
  </si>
  <si>
    <t>Need By Date</t>
  </si>
  <si>
    <t>Change Log Notes</t>
  </si>
  <si>
    <t>Map EPICs and Stories to Each System That They Impact Per Line</t>
  </si>
  <si>
    <t>Title Page</t>
  </si>
  <si>
    <t>GADCR</t>
  </si>
  <si>
    <t>About</t>
  </si>
  <si>
    <t>EPICS</t>
  </si>
  <si>
    <t>Action Items</t>
  </si>
  <si>
    <t>Change Log</t>
  </si>
  <si>
    <t>IS_Requirements Mapping</t>
  </si>
  <si>
    <t>Reporting Questions</t>
  </si>
  <si>
    <t>OBA</t>
  </si>
  <si>
    <t>BRD Convert</t>
  </si>
  <si>
    <t>IS_Impacted_Systems_List</t>
  </si>
  <si>
    <t>Initiation Services BRD Template and JIRA Import Creation Tool</t>
  </si>
  <si>
    <t>1. Sometimes, after running a macro, Excel and/or the screen will not appear to respond.  This appears to be a known bug/issue with Excel.  To get around this, you just need to select another tab and then select the tab you want to update again OR open/switch to another Excel workbook and then switch back.</t>
  </si>
  <si>
    <t>Release Notes:</t>
  </si>
  <si>
    <t>For help on how to use this template/tool:</t>
  </si>
  <si>
    <t>Custom Information</t>
  </si>
  <si>
    <t xml:space="preserve">Help: How to Find the Initiative Issue Type's Information in JIRA by CWI Work ID or Wave ID </t>
  </si>
  <si>
    <r>
      <t xml:space="preserve">LABEL(s)
</t>
    </r>
    <r>
      <rPr>
        <b/>
        <sz val="10"/>
        <color rgb="FFFFFF00"/>
        <rFont val="Calibri"/>
        <family val="2"/>
        <scheme val="minor"/>
      </rPr>
      <t xml:space="preserve">(JIRA Label)
</t>
    </r>
    <r>
      <rPr>
        <b/>
        <sz val="10"/>
        <color theme="0"/>
        <rFont val="Calibri"/>
        <family val="2"/>
        <scheme val="minor"/>
      </rPr>
      <t>(Optional)</t>
    </r>
  </si>
  <si>
    <t>Link to Most Recently Published Initiation Services BRD Template</t>
  </si>
  <si>
    <r>
      <t xml:space="preserve">Contributor(s)
</t>
    </r>
    <r>
      <rPr>
        <b/>
        <sz val="10"/>
        <color rgb="FFFFFF00"/>
        <rFont val="Calibri"/>
        <family val="2"/>
        <scheme val="minor"/>
      </rPr>
      <t>(JIRA Description)</t>
    </r>
    <r>
      <rPr>
        <b/>
        <sz val="10"/>
        <rFont val="Calibri"/>
        <family val="2"/>
        <scheme val="minor"/>
      </rPr>
      <t xml:space="preserve">
</t>
    </r>
    <r>
      <rPr>
        <b/>
        <sz val="10"/>
        <color theme="0"/>
        <rFont val="Calibri"/>
        <family val="2"/>
        <scheme val="minor"/>
      </rPr>
      <t>(Required)</t>
    </r>
  </si>
  <si>
    <r>
      <t xml:space="preserve">Description
</t>
    </r>
    <r>
      <rPr>
        <b/>
        <sz val="10"/>
        <rFont val="Calibri"/>
        <family val="2"/>
        <scheme val="minor"/>
      </rPr>
      <t>(Capability is a summary description not in User story voice.)
(EPIC and User Story Format: As a &lt;who&gt;, I want to &lt;what&gt; so that &lt;why&gt;.)</t>
    </r>
  </si>
  <si>
    <r>
      <t xml:space="preserve">JIRA Issue Type
</t>
    </r>
    <r>
      <rPr>
        <b/>
        <sz val="10"/>
        <rFont val="Calibri"/>
        <family val="2"/>
        <scheme val="minor"/>
      </rPr>
      <t xml:space="preserve">(New Section, Capability, EPIC or  Story)
</t>
    </r>
    <r>
      <rPr>
        <b/>
        <sz val="10"/>
        <color rgb="FFFFFF00"/>
        <rFont val="Calibri"/>
        <family val="2"/>
        <scheme val="minor"/>
      </rPr>
      <t>(JIRA Issue Type)</t>
    </r>
    <r>
      <rPr>
        <b/>
        <sz val="10"/>
        <rFont val="Calibri"/>
        <family val="2"/>
        <scheme val="minor"/>
      </rPr>
      <t xml:space="preserve">
</t>
    </r>
    <r>
      <rPr>
        <b/>
        <sz val="10"/>
        <color theme="0"/>
        <rFont val="Calibri"/>
        <family val="2"/>
        <scheme val="minor"/>
      </rPr>
      <t>(Required)</t>
    </r>
  </si>
  <si>
    <t>i. JIRA will not keep the same formatting either due to the nature of the import process.</t>
  </si>
  <si>
    <t>ii. For more information on JIRA formatting and notation options, please visit the Atlassian link below:</t>
  </si>
  <si>
    <t>3. You can only add columns to the end of each worksheet (i.e. the columns as defined must remain unchanged).</t>
  </si>
  <si>
    <t>a. Change the name of or delete any of the non-JIRA related worksheets/tabs.
b. Change any of the header names on any of the worksheets.
c. Remove the header rows on any of the worksheets.
d. Change the name of any of the worksheets/tabs.
e. Add additional rows to the ‘Title Page’ worksheet above row 11.
f. Add additional rows above the headers on any worksheet/tab.</t>
  </si>
  <si>
    <r>
      <t xml:space="preserve">2. </t>
    </r>
    <r>
      <rPr>
        <b/>
        <i/>
        <sz val="11"/>
        <rFont val="Calibri"/>
        <family val="2"/>
        <scheme val="minor"/>
      </rPr>
      <t>DO NOT:</t>
    </r>
  </si>
  <si>
    <t>• However, the JIRA Creation macros will not be able to take those additional columns into account.</t>
  </si>
  <si>
    <t>Critical Guidelines to Follow:</t>
  </si>
  <si>
    <r>
      <t xml:space="preserve">This workbook is used by the Initiation Services team to capture high-level business requirements (Capabilities/Epics) for an initiative during Initiation.  The template supports the creation of JIRA Import templates as well as the ability to convert another Excel based BRD template into the Initiation Services template required structure.
</t>
    </r>
    <r>
      <rPr>
        <b/>
        <i/>
        <sz val="11"/>
        <color theme="3"/>
        <rFont val="Calibri"/>
        <family val="2"/>
        <scheme val="minor"/>
      </rPr>
      <t>Additional teams may use this template during the capturing of their requirements for import into JIRA as well.</t>
    </r>
  </si>
  <si>
    <t>https://jira.atlassian.com/secure/WikiRendererHelpAction.jspa?section=all</t>
  </si>
  <si>
    <r>
      <t xml:space="preserve">1. </t>
    </r>
    <r>
      <rPr>
        <b/>
        <sz val="11"/>
        <rFont val="Calibri"/>
        <family val="2"/>
        <scheme val="minor"/>
      </rPr>
      <t>The macros copy the text values from each column to perform the BRD Conversion/Mapping and Create the JIRA Imports, so any special formatting</t>
    </r>
    <r>
      <rPr>
        <sz val="11"/>
        <rFont val="Calibri"/>
        <family val="2"/>
        <scheme val="minor"/>
      </rPr>
      <t xml:space="preserve"> (i.e. </t>
    </r>
    <r>
      <rPr>
        <u/>
        <sz val="11"/>
        <rFont val="Calibri"/>
        <family val="2"/>
        <scheme val="minor"/>
      </rPr>
      <t>text underline</t>
    </r>
    <r>
      <rPr>
        <sz val="11"/>
        <rFont val="Calibri"/>
        <family val="2"/>
        <scheme val="minor"/>
      </rPr>
      <t xml:space="preserve">, </t>
    </r>
    <r>
      <rPr>
        <i/>
        <sz val="11"/>
        <rFont val="Calibri"/>
        <family val="2"/>
        <scheme val="minor"/>
      </rPr>
      <t>italics</t>
    </r>
    <r>
      <rPr>
        <sz val="11"/>
        <rFont val="Calibri"/>
        <family val="2"/>
        <scheme val="minor"/>
      </rPr>
      <t xml:space="preserve">, </t>
    </r>
    <r>
      <rPr>
        <b/>
        <sz val="11"/>
        <rFont val="Calibri"/>
        <family val="2"/>
        <scheme val="minor"/>
      </rPr>
      <t>bold</t>
    </r>
    <r>
      <rPr>
        <sz val="11"/>
        <rFont val="Calibri"/>
        <family val="2"/>
        <scheme val="minor"/>
      </rPr>
      <t xml:space="preserve">, </t>
    </r>
    <r>
      <rPr>
        <strike/>
        <sz val="11"/>
        <rFont val="Calibri"/>
        <family val="2"/>
        <scheme val="minor"/>
      </rPr>
      <t>strikethrough</t>
    </r>
    <r>
      <rPr>
        <sz val="11"/>
        <rFont val="Calibri"/>
        <family val="2"/>
        <scheme val="minor"/>
      </rPr>
      <t xml:space="preserve">, </t>
    </r>
    <r>
      <rPr>
        <sz val="11"/>
        <color rgb="FFFF0000"/>
        <rFont val="Calibri"/>
        <family val="2"/>
        <scheme val="minor"/>
      </rPr>
      <t>color</t>
    </r>
    <r>
      <rPr>
        <sz val="11"/>
        <rFont val="Calibri"/>
        <family val="2"/>
        <scheme val="minor"/>
      </rPr>
      <t>, highlighting, etc) would not be kept.</t>
    </r>
  </si>
  <si>
    <r>
      <t>Requirement Description
(</t>
    </r>
    <r>
      <rPr>
        <b/>
        <sz val="10"/>
        <rFont val="Calibri"/>
        <family val="2"/>
        <scheme val="minor"/>
      </rPr>
      <t>Capability is a summary description not in User story voice.)
(EPIC and User Story Format: As a &lt;who&gt;, I want to &lt;what&gt; so that &lt;why&gt;.)</t>
    </r>
    <r>
      <rPr>
        <b/>
        <sz val="11"/>
        <rFont val="Calibri"/>
        <family val="2"/>
        <scheme val="minor"/>
      </rPr>
      <t xml:space="preserve">
</t>
    </r>
    <r>
      <rPr>
        <b/>
        <sz val="10"/>
        <color rgb="FFFFFF00"/>
        <rFont val="Calibri"/>
        <family val="2"/>
        <scheme val="minor"/>
      </rPr>
      <t>(JIRA Description)</t>
    </r>
    <r>
      <rPr>
        <b/>
        <sz val="11"/>
        <rFont val="Calibri"/>
        <family val="2"/>
        <scheme val="minor"/>
      </rPr>
      <t xml:space="preserve">
</t>
    </r>
    <r>
      <rPr>
        <b/>
        <sz val="10"/>
        <color theme="0"/>
        <rFont val="Calibri"/>
        <family val="2"/>
        <scheme val="minor"/>
      </rPr>
      <t>(Required)</t>
    </r>
  </si>
  <si>
    <r>
      <t xml:space="preserve">Requirement Description
</t>
    </r>
    <r>
      <rPr>
        <sz val="9"/>
        <color theme="1"/>
        <rFont val="Calibri"/>
        <family val="2"/>
        <scheme val="minor"/>
      </rPr>
      <t xml:space="preserve">Description of the Requirement from the EPICS tab.
</t>
    </r>
    <r>
      <rPr>
        <b/>
        <sz val="9"/>
        <color theme="0"/>
        <rFont val="Calibri"/>
        <family val="2"/>
        <scheme val="minor"/>
      </rPr>
      <t>(Required)</t>
    </r>
  </si>
  <si>
    <t>Not Applicable - DO NOT REMOVE THIS ROW</t>
  </si>
  <si>
    <r>
      <t xml:space="preserve">SSCR ID </t>
    </r>
    <r>
      <rPr>
        <b/>
        <i/>
        <sz val="9"/>
        <color rgb="FFFF0000"/>
        <rFont val="Calibri"/>
        <family val="2"/>
        <scheme val="minor"/>
      </rPr>
      <t>(NOT applicable for Initiation Services OR Projects)</t>
    </r>
  </si>
  <si>
    <t>Shortcuts to Help for this Template/Tool:</t>
  </si>
  <si>
    <t>1. Critical Guidelines to Follow</t>
  </si>
  <si>
    <t>2. Known Issues</t>
  </si>
  <si>
    <t>a. Prior to using these macros, the user will need to ensure that the column values are updated, as needed, based on any special formatting that the team had done while working with the requirements – to include removing any of the above for mentioned formatting if it was used to denote something.</t>
  </si>
  <si>
    <t>3. Release Notes</t>
  </si>
  <si>
    <t>Changes made to:</t>
  </si>
  <si>
    <t>Changes Made:</t>
  </si>
  <si>
    <t>4. JIRA Formatting and Notation Help</t>
  </si>
  <si>
    <t>3.x</t>
  </si>
  <si>
    <t>1. Check that there are no duplicate REQIDs on the 'EPICS' worksheet.</t>
  </si>
  <si>
    <t>1. Added logic to verify that the Issue Type, Issue Type Title/Summary, and Description values for a matching REQID between the 'EPICS' and 'IS_Requirements Mapping' worksheets all match.
2. Added logic to check to check whether any information was previously captured in the "IT Identified Impacted Areas" column and prompt the user on whether or not to continue with the overwrite from the 'IS_Requirements Mapping' worksheet or not.</t>
  </si>
  <si>
    <t>To be used when something does NOT require IT changes to implement - (i.e. Business Process Only)</t>
  </si>
  <si>
    <t>To be used when IT impacts are not applicable.  (i.e. NewSections and Capabilities)</t>
  </si>
  <si>
    <t>1. Revamped template structure/format to remove columns no longer needed and add new columns requested in support of more efficient requirements capturing and JIRA Import Creation based off of initial 12 month use of the previous template.
2. Modified code to no longer reference the old columns and to reference the new columns, to include conversion, change log, JIRA Import Creation, and BRD Conversion macros.
3. Modified code to cleanup what is added to the JIRA Description field value based on whether the associated columns have a value or not.
4. Modified code to include WAVE# and SSCR# as a part of the defaulted Labels options for JIRA and to work through the Labels added by the user and append the JIRA WIDID to them.</t>
  </si>
  <si>
    <t xml:space="preserve">1. Revamped the look and feel of the template in preparation to support the use of additional teams beyond the Initiation Services Team.
2. Ground up rebuild and rewrite of the code to improve speed, functionality, maintainability, enhance and add additional error checking and handling, enhance JIRA Import Creation structure based on lessons learned, and streamline duplicated logic and forms.
3. Modified code to dynamically identify how many records exist and to be able to accomodate spaces in critical fields without negatively impacting the ability to run the macros.
4. Reordered the 'Title Page' JIRA fields to align with the order of how they are listed and found in JIRA.
5. Added WAVE ID and SSCR ID to the 'Title Page' so that it can easily be identified and readily viewable as well as used in support of the JIRA Import Creation.
6. Changed the formatting of the JIRA Description fields for the Issue Types loaded so that the information captured was more easily readable and organized within JIRA.
7. Added logic and checks to validate the structure of the template, to the extent possible, and prompt the user when errors are found so that they can be corrected prior to the successful run of the macros.
8. Re-engineered the BRD Convert logic and form to provide error checking and more easily select the columns that are desired to be converted/mapped.
9. Re-engineered the JIRA Import Creation logic and form to prompt the user on what types of imports they'd like to select and check and prompt before deleting and overwriting any existing JIRA Import worksheets previously created.
10. Enhanced error and validation checking and all associated message prompts to the end user with the intent to be able to support the use of the template from areas outside of Initiation Services.
11. Added the ability for the macros to dynamically interpret the GADCR information in support of validating the structure, identifying what rows can be moved, and identifying what type of information a row is.
12. Rewrote the "Create Standard (STD) OBA" macro to use the Domain Level 0 information from the 'OBA' worksheet to align with the Enterprise Standard definitions/structure.
13. Modified the JIRA Import file creation using some Atlassian defined formatting capabilities that results in clearer header identification and readability.  In addition, added the ability for the code to count and identify the number of GADCR type records within the JIRA Creation logic.
14. Multiple other enhancements and code restructuring.
15. Added this 'About' worksheet and 'Reporting Questions' worksheet.
</t>
  </si>
  <si>
    <t>Recovery Process Improvement Kickoff</t>
  </si>
  <si>
    <r>
      <t xml:space="preserve">IT Identified Impacted Areas
</t>
    </r>
    <r>
      <rPr>
        <b/>
        <sz val="10"/>
        <color rgb="FFFFFF00"/>
        <rFont val="Calibri"/>
        <family val="2"/>
        <scheme val="minor"/>
      </rPr>
      <t>(JIRA Description)</t>
    </r>
    <r>
      <rPr>
        <b/>
        <sz val="10"/>
        <color theme="1"/>
        <rFont val="Calibri"/>
        <family val="2"/>
        <scheme val="minor"/>
      </rPr>
      <t xml:space="preserve">
</t>
    </r>
    <r>
      <rPr>
        <b/>
        <sz val="10"/>
        <color theme="5" tint="-0.249977111117893"/>
        <rFont val="Calibri"/>
        <family val="2"/>
        <scheme val="minor"/>
      </rPr>
      <t>(AUTO-POPULATED - pulled from the  'IS_Requirements Mapping' worksheet) - DO NOT MANUALLY ENTER</t>
    </r>
  </si>
  <si>
    <t>Authors:</t>
  </si>
  <si>
    <t>Jeremy Roever</t>
  </si>
  <si>
    <t>Qamar Ali</t>
  </si>
  <si>
    <t>Always download and use the latest BRD Template from the link below:</t>
  </si>
  <si>
    <r>
      <t xml:space="preserve">Tab Legend: </t>
    </r>
    <r>
      <rPr>
        <i/>
        <sz val="9"/>
        <color theme="1"/>
        <rFont val="Calibri"/>
        <family val="2"/>
        <scheme val="minor"/>
      </rPr>
      <t>(Move your mouse over each box below to get an explanation of the tabs/worksheets.  Click the links to be taken to the worksheet.)</t>
    </r>
  </si>
  <si>
    <t>Conditional Use</t>
  </si>
  <si>
    <t>Required Info</t>
  </si>
  <si>
    <t>Helpful Guidance</t>
  </si>
  <si>
    <t>4. "REQID" values must be unique for each record.  Must be in alphabetic and sequential order.</t>
  </si>
  <si>
    <t>Change Log Records:</t>
  </si>
  <si>
    <t>Systems Identified:</t>
  </si>
  <si>
    <r>
      <t xml:space="preserve">JIRA Issue Type
</t>
    </r>
    <r>
      <rPr>
        <b/>
        <sz val="10"/>
        <rFont val="Calibri"/>
        <family val="2"/>
        <scheme val="minor"/>
      </rPr>
      <t>(New Section, Capability, EPIC or  Story)</t>
    </r>
  </si>
  <si>
    <t>JIRA Initiative Issue Type's "Work ID No"
JIRA Initiative Issue Type's Assigned (Key) ID</t>
  </si>
  <si>
    <t>1. Created a generic subroutine that encompasses all logic necessary to link Child records to their corresponding Parent records based on the arguments passed to the subroutine.
2. Added new buttons/macro logic to be able to link EPICs to Capabilities using the REQID values by calling the generic Child/Parent subroutine.
3. Added new buttons/macro logic to be able to link Stories to EPICs using the REQID values by calling the generic Child/Parent subroutine.
4. Added a new button/macro logic to create a copy of the JIRA GADCR worksheet in a new workbook so that it can be saved as a CSV and used for importing into JIRA.
5. Added a new button/macro logic to create a copy of the JIRA CAP worksheet in a new workbook so that it can be saved as a CSV and used for importing into JIRA.
6. Added a new button/macro logic to create a copy of the JIRA EPICS worksheet in a new workbook so that it can be saved as a CSV and used for importing into JIRA.
7. Added a new button/macro logic to create a copy of the JIRA Story worksheet in a new workbook so that it can be saved as a CSV and used for importing into JIRA.
8. Added logic for the Child/Parent Linking buttons, "Load All Requirements to Mapping Worksheet" button, and "Create JIRA Imports" button to prompt the user for confirmation that the REQIDs are in the both Alphabetic and Numeric order before proceeding.  Due to the nature of the column, the code is unable to automatically perform the check, so it must prompt the user to review and confirm instead.
9. Updated the 'Title Page' worksheet to prompt for the JIRA Initiative Issue Type's "Work ID No" instead of the "Work ID" description.  "Work ID No" is needed to be able to display the correct "Work ID" description in JIRA now since the September 2018 JIRA Release.</t>
  </si>
  <si>
    <t>No IT Impacts - Business Process impacts only - DO NOT REMOVE THIS ROW</t>
  </si>
  <si>
    <t>** Business Process Only - NO IT Involvement Needed</t>
  </si>
  <si>
    <r>
      <rPr>
        <b/>
        <sz val="18"/>
        <color theme="0"/>
        <rFont val="Calibri"/>
        <family val="2"/>
        <scheme val="minor"/>
      </rPr>
      <t>Warning:</t>
    </r>
    <r>
      <rPr>
        <sz val="16"/>
        <color theme="0"/>
        <rFont val="Calibri"/>
        <family val="2"/>
        <scheme val="minor"/>
      </rPr>
      <t xml:space="preserve"> System Name (Column E) </t>
    </r>
    <r>
      <rPr>
        <u/>
        <sz val="16"/>
        <color theme="0"/>
        <rFont val="Calibri"/>
        <family val="2"/>
        <scheme val="minor"/>
      </rPr>
      <t>MUST BE populated</t>
    </r>
    <r>
      <rPr>
        <sz val="16"/>
        <color theme="0"/>
        <rFont val="Calibri"/>
        <family val="2"/>
        <scheme val="minor"/>
      </rPr>
      <t xml:space="preserve"> for every record. If no IT impact then select "</t>
    </r>
    <r>
      <rPr>
        <sz val="12"/>
        <color theme="0"/>
        <rFont val="Calibri"/>
        <family val="2"/>
        <scheme val="minor"/>
      </rPr>
      <t>** Business Process Only - NO IT Involvement Needed</t>
    </r>
    <r>
      <rPr>
        <sz val="16"/>
        <color theme="0"/>
        <rFont val="Calibri"/>
        <family val="2"/>
        <scheme val="minor"/>
      </rPr>
      <t>".</t>
    </r>
    <r>
      <rPr>
        <sz val="18"/>
        <color theme="0"/>
        <rFont val="Calibri"/>
        <family val="2"/>
        <scheme val="minor"/>
      </rPr>
      <t xml:space="preserve">
</t>
    </r>
    <r>
      <rPr>
        <b/>
        <sz val="18"/>
        <color theme="0"/>
        <rFont val="Calibri"/>
        <family val="2"/>
        <scheme val="minor"/>
      </rPr>
      <t>FYI:</t>
    </r>
    <r>
      <rPr>
        <sz val="18"/>
        <color theme="0"/>
        <rFont val="Calibri"/>
        <family val="2"/>
        <scheme val="minor"/>
      </rPr>
      <t xml:space="preserve"> </t>
    </r>
    <r>
      <rPr>
        <i/>
        <sz val="13"/>
        <color theme="0"/>
        <rFont val="Calibri"/>
        <family val="2"/>
        <scheme val="minor"/>
      </rPr>
      <t xml:space="preserve">Use the "Repeat Requirement" button to the left to duplicate the requirement on a new line to map to an additional system of impact.  Also, please </t>
    </r>
    <r>
      <rPr>
        <i/>
        <u/>
        <sz val="13"/>
        <color theme="0"/>
        <rFont val="Calibri"/>
        <family val="2"/>
        <scheme val="minor"/>
      </rPr>
      <t>ensure that all REQIDs are in alphabetic and numeric order</t>
    </r>
    <r>
      <rPr>
        <i/>
        <sz val="13"/>
        <color theme="0"/>
        <rFont val="Calibri"/>
        <family val="2"/>
        <scheme val="minor"/>
      </rPr>
      <t>.</t>
    </r>
  </si>
  <si>
    <r>
      <t xml:space="preserve">System Name
</t>
    </r>
    <r>
      <rPr>
        <b/>
        <sz val="9"/>
        <color rgb="FFC00000"/>
        <rFont val="Calibri"/>
        <family val="2"/>
        <scheme val="minor"/>
      </rPr>
      <t>(Issue Type's of 'NewSection' OR 'Capability' should be defined as "** Not Applicable")</t>
    </r>
    <r>
      <rPr>
        <b/>
        <sz val="11"/>
        <color theme="1"/>
        <rFont val="Calibri"/>
        <family val="2"/>
        <scheme val="minor"/>
      </rPr>
      <t xml:space="preserve">
</t>
    </r>
    <r>
      <rPr>
        <b/>
        <sz val="9"/>
        <color theme="0"/>
        <rFont val="Calibri"/>
        <family val="2"/>
        <scheme val="minor"/>
      </rPr>
      <t>(Required)</t>
    </r>
  </si>
  <si>
    <r>
      <rPr>
        <b/>
        <sz val="16"/>
        <color theme="0"/>
        <rFont val="Calibri"/>
        <family val="2"/>
        <scheme val="minor"/>
      </rPr>
      <t>Version:</t>
    </r>
    <r>
      <rPr>
        <sz val="16"/>
        <color theme="0"/>
        <rFont val="Calibri"/>
        <family val="2"/>
        <scheme val="minor"/>
      </rPr>
      <t xml:space="preserve"> BETA 4.5</t>
    </r>
  </si>
  <si>
    <r>
      <rPr>
        <b/>
        <sz val="11"/>
        <color theme="0"/>
        <rFont val="Calibri"/>
        <family val="2"/>
        <scheme val="minor"/>
      </rPr>
      <t>Release Date:</t>
    </r>
    <r>
      <rPr>
        <sz val="11"/>
        <color theme="0"/>
        <rFont val="Calibri"/>
        <family val="2"/>
        <scheme val="minor"/>
      </rPr>
      <t xml:space="preserve"> 10/25/2018</t>
    </r>
  </si>
  <si>
    <t>BETA Testing, not ready for broad production use/sharing, under development and refinement.</t>
  </si>
  <si>
    <t>Initiation Services Team BETA Testing, Ready for Initiation Services Team Release ONLY.</t>
  </si>
  <si>
    <t>1. Added logic to prevent the ability to repeate the selected requirement/row on the 'IS_Requirements Mapping' worksheet when the "Issue Type" is a "NewSection" or a "Capability".
2. Added logic to automatically default the "System Name", for Issue Types "NewSection" and "Capability", on the 'IS_Requirements Mapping' worksheet to "Not Applicable" during the loading of all requirements from the 'EPICS' worksheet over to the 'IS_Requirements Mapping' worksheet via the "Load All Requirements to Mapping Worksheet" button.  This way the Solution Lead does not need to worry about those rows.
3. Modified the 'IS_Impacted_Systems_List' worksheet to only have two standard "System Names" to choose from to either "** Not Applicable" or "** Business Process Only - NO IT Involvement Needed".</t>
  </si>
  <si>
    <t>1. Updated comments for columns on the "EPICS", "IS_Requirements Mapping", and "IS_Impacted_Systems_List" worksheets.
2. Modified the logic that loads the requirements information from the "EPICS" worksheet to the "IS_Requirements Mapping" worksheet to prefix any 'Business Identified Impacted Areas' information, copied to the 'Summary of Impacts' column in an effort to provide the Solution Lead with some helpful information, with "[AREAS THE BUSINESS THINKS MAY BE IMPACTED]:".
3. Modified the logic that creates the value noted in the "Description" of the JIRA Imports for Capabilities/EPICS/Stories to always include the "Contributors" and "IT Identified Impacted Areas" information and to conditionally include the "Notes", "Custom Information", and "Business Identified Impacted Areas" information.
4. Modified the logic that creates the "Description" of the JIRA Imports for the Capabilities/EPICS/Stories to only include the "Business Identified Impacted Areas" column information for the record if there are NO IT Identified Systems/Areas noted.</t>
  </si>
  <si>
    <t>0037647 Medicare -Smart- Provider Finder</t>
  </si>
  <si>
    <t xml:space="preserve">66575 </t>
  </si>
  <si>
    <t xml:space="preserve">One Anthem - Stars and Risk Revenue/66575 Medicare Smart Provider Finder </t>
  </si>
  <si>
    <t>Judy Thomas, Initiation Analyst</t>
  </si>
  <si>
    <t>MDO</t>
  </si>
  <si>
    <t>https://share.antheminc.com/sites/SEGov/Lists/Small%20Enhancement%20Request/DispForm.aspx?ID=48918&amp;Source=https%3A%2F%2Fshare%2Eantheminc%2Ecom%2Fsites%2FSEGov%2FLists%2FSmall%2520Enhancement%2520Request%2FInitiate%2520All%2520Project%2520Requests%2Easpx%23InplviewHashea766af4%2D3c5d%2D4e82%2D8923%2D08ab5f61570b%3DWebPartID%253D%257BEA766AF4%2D%2D3C5D%2D%2D4E82%2D%2D8923%2D%2D08AB5F61570B%257D&amp;ContentTypeId=0x01008C67803E570244439703016652906622</t>
  </si>
  <si>
    <t>https://share.antheminc.com/sites/SEGov/Initiation%20Project%20Docs/Forms/AllItems.aspx?RootFolder=%2Fsites%2FSEGov%2FInitiation%20Project%20Docs%2FOne%20Anthem%2FStars%20and%20Risk%20Revenue%2FMedicare%20%2DSmart%2D%20Provider%20Finder&amp;FolderCTID=0x012000C9DAA2A2A1360F4BB3C8EE7D9F429AE7&amp;View=%7BD6395EBD%2D6F13%2D4D74%2DA17A%2DC4333FCA90D9%7D</t>
  </si>
  <si>
    <t>https://share.antheminc.com/sites/SEGov/Initiation%20Project%20Docs/One%20Anthem/Stars%20and%20Risk%20Revenue/Medicare%20-Smart-%20Provider%20Finder/Medicare%20Smart%20Provider%20Finder%20Kickoff.pptx</t>
  </si>
  <si>
    <t>thomajd</t>
  </si>
  <si>
    <r>
      <rPr>
        <u/>
        <sz val="11"/>
        <color theme="1"/>
        <rFont val="Calibri"/>
        <family val="2"/>
      </rPr>
      <t>Out of Scope:</t>
    </r>
    <r>
      <rPr>
        <sz val="11"/>
        <color theme="1"/>
        <rFont val="Calibri"/>
        <family val="2"/>
      </rPr>
      <t xml:space="preserve">
 * Markets/Regions:
 ** Commercial
 ** HealthLink
 ** UniCare
 ** Medicare markets using HealthSparq (AZ, FL, NJ, NM, TN, TX, and WA)
 * LOB/Products:
 ** Commercial Labor &amp; Trust
 ** CDHP (Consumer Driven Health Plan), HRA, HSA, FSA, Commuter (Parking, Transit)
 ** Health Plan BPO Services (Analytics Services; Subrogation Services; TPA Services; Utilization Management Services)
 ** Pharmacy
 ** Specialty (Dental; Employee Assistance Program; Hearing; Life &amp; Disability; Vision; Voluntary; Worker’s Compensation)
 * Other (supplemental benefits)
 ** Blue Card, EPO, PPO, POS, HMO, Fee-for-Service (FFS)
 ** Business Segments:
 ** Commercial Individual (On/Off Exchange)
 ** Commercial Small Group (On/Off Exchange)
 ** Commercial Large Group
 ** Commercial National
 ** Commercial Employer Group Retiree
 ** GBD (Medical Plans Duals – Medicare &amp; Medicaid – MMP; Medicaid)
 ** FEP
 * Other:  Cost and Care Finder (CCF) Tool
</t>
    </r>
  </si>
  <si>
    <t>A1</t>
  </si>
  <si>
    <t>Legacy Provider Finder tool only is in scope.</t>
  </si>
  <si>
    <t>IT Resource availability to support project timelines.</t>
  </si>
  <si>
    <t>Need to ensure program meets compliance requirements and approvals.</t>
  </si>
  <si>
    <t>Reporting</t>
  </si>
  <si>
    <t>Medicare MDO Overview.ppt</t>
  </si>
  <si>
    <t>Overview of Anthem's Member Default Optimization (MDO) Program used to enhance auto-assignment of PCPs to members</t>
  </si>
  <si>
    <t>https://share.antheminc.com/sites/SEGov/Initiation%20Project%20Docs/One%20Anthem/Stars%20and%20Risk%20Revenue/Medicare%20-Smart-%20Provider%20Finder/Medicare%20MDO%20Overview.pptx</t>
  </si>
  <si>
    <r>
      <rPr>
        <u/>
        <sz val="11"/>
        <color theme="1"/>
        <rFont val="Calibri"/>
        <family val="2"/>
      </rPr>
      <t>In Scope:</t>
    </r>
    <r>
      <rPr>
        <sz val="11"/>
        <color theme="1"/>
        <rFont val="Calibri"/>
        <family val="2"/>
      </rPr>
      <t xml:space="preserve">
 * Markets/Regions:
 ** CareMore
 ** All Anthem Plan States (CA; CO; CT; GA; IN; KY; ME; MO; NH; NV; NY; OH; VA; WI)
 ** All markets where we are using legacy Provider Finder
 * LOB/Products:  Medical Plan
 * Business Segment:  Medicare
 * Other:  Secure (Legacy Provider Finder users) and non-Secure Sites (Online Shopper over 65 users)</t>
    </r>
  </si>
  <si>
    <t>Jeff Reveley</t>
  </si>
  <si>
    <t>New Provider Finder PCP Search Criteria (Secure)</t>
  </si>
  <si>
    <t>MDO scoring will be the same across all Medicare markets.</t>
  </si>
  <si>
    <t xml:space="preserve">As an Anthem Medicare Provider Network Manager, when a member searches for a PCP in Provider Finder, I want Provider Finder to sort search results so that they display in order of the highest MDO score to the lowest MDO score. 
</t>
  </si>
  <si>
    <t>Member Default Optimization (See reference section for MDO overview document.)</t>
  </si>
  <si>
    <t xml:space="preserve">Use Member Default Optimization (MDO) data and/or CMS Quality data to determine how providers get displayed to members when they are searching for a provider within the online provider directory. This solution would allow us to present members with high quality, low cost providers at the top of their search results for PCPs and specialists. 
Notes:  
There may be work that can be leveraged from a similar CSBD-focused initiative (Wave #845 – “Smart” Provider Finder).  </t>
  </si>
  <si>
    <t>MDO scores for PCPs are currently calculated to enhance medicare PCP auto-assignment.  They are not calculated for specialists.  PCP MDO Scoring is based on MDO rank (calculated from the provider's quality score and cost efficiency score).  The MDO ranking is done on a yearly basis.  MDO score is calculated based on the Provider's yearly MDO rank and the following member-specific data:
Product (to identify PCPs serving their plan)
Home Address
Foreign language
DOB
It is assumed that there will be no changes required to calculations used for MDO scoring.  
Not all medicare market MDO rankings are in GBD FACETS.  FACETS loads the rankings from HCA excel files.  HCA files not in FACETS will need to be imported into the datastore used to house MDO rankings.
Any provider without a TIN should be assigned an MDO ranking of 3 (as is current MDO ranking process).
MDO scoring will be the same across all Medicare markets.
PCP MDO Score should not display.</t>
  </si>
  <si>
    <t>FACETS</t>
  </si>
  <si>
    <t>Refers to GBD Facets throughout the document (as opposed to Central Facets)</t>
  </si>
  <si>
    <t>As an Anthem Medicare Provider Network Manager, I want Provider Finder to be able to identify a member's Plan and foreign language preference so that these data elements can be used to calculate PCP MDO scores.</t>
  </si>
  <si>
    <t>Provider Finder currently identifies member home address and DOB.  It does not identify foreign language preference or plan.</t>
  </si>
  <si>
    <t>Display PCPs per MDO Rank and Collaborative Agreement in Online Store (Non-Secure)</t>
  </si>
  <si>
    <t>Display PCPs per MDO Score in Provider Finder (Secure)</t>
  </si>
  <si>
    <t xml:space="preserve">As an Anthem Medicare Provider Network Manager, when an Online Shopper portal user searches for a PCP, I want Online Shopper to sort search results so that they display in order of the highest MDO rank and collaborative agreement points award to the lowest MDO rank and collaborative agreement points award. 
</t>
  </si>
  <si>
    <t>PCP MDO Rank should not display.  Display order should consider a combination of MDO rank and points awarded to the provider for his/her collaborative agreement.</t>
  </si>
  <si>
    <t>Changes to sort order may include sorting by name or distance.</t>
  </si>
  <si>
    <t>Change PCP Provider Finder Search Results Sorting (Secure)</t>
  </si>
  <si>
    <t>Return to PCP Provider Finder Default Sorting (Secure)</t>
  </si>
  <si>
    <t>As an Anthem member, I want to be able to change the sort order of Provider Finder PCP default search results by MDO Score, so that I can personalize the display.</t>
  </si>
  <si>
    <t>As an Anthem member, after changing the Provider Finder PCP default search results sort order (e.g., by name or distance), I want to be able to return to the default PCP sort order by MDO score so that I can again view the original sort order display.</t>
  </si>
  <si>
    <t>As an Online Shopper, I want to be able to change the sort order of Provider Finder PCP default search results by MDO rank and collaborative agreement points, so that I can personalize the display.</t>
  </si>
  <si>
    <t>As an Online Shopper, after changing the Online Shopper PCP default search results sort order (e.g., by name or distance), I want to be able to return to the default PCP sort order by MDO rank and collaborative agreement points, so that I can again view the original sort order display.</t>
  </si>
  <si>
    <t>OLS</t>
  </si>
  <si>
    <t>Online Store</t>
  </si>
  <si>
    <t>B1</t>
  </si>
  <si>
    <t xml:space="preserve">Specialist Search Results   </t>
  </si>
  <si>
    <t>Display Specialist Search Results Using Member Match and Provider Quality Score</t>
  </si>
  <si>
    <t>Change Specialist Provider Finder Search Results Sorting (Secure)</t>
  </si>
  <si>
    <t>As an Anthem member, I want to be able to change the sort order of Provider Finder Specialist default search results by personalized member/provider match and provider-based cost and quality score, so that I can personalize the display.</t>
  </si>
  <si>
    <t>Return to Specialist Provider Finder Default Sorting (Secure)</t>
  </si>
  <si>
    <t>As an Anthem member, after changing the Provider Finder Specialist default search results sort order (e.g., by name or distance), I want to be able to return to the default Specialist sort order by personalized member/provider match and provider-based cost and quality score so that I can again view the original sort order display.</t>
  </si>
  <si>
    <t>C1</t>
  </si>
  <si>
    <t>PCP Search Results</t>
  </si>
  <si>
    <t>For Provider Finder users, display PCP search results based on MDO score in descending order with the highest score appearing first.  For Online Store users, sort PCP search results based on MDO rank in descending order with the highest rank appearing first.  Allow users to change default sort order (based on distance and name, for example).  Allow users to return to default sort order.</t>
  </si>
  <si>
    <t>New Dashboard</t>
  </si>
  <si>
    <t>New Outcomes and Valuation Report</t>
  </si>
  <si>
    <t>Report should be modeled after Commercial valuation report that is not yet in production.</t>
  </si>
  <si>
    <t>Per CMS regulations, a Provider cannot be excluded from Provider Finder or OnLine Shopper search results.</t>
  </si>
  <si>
    <t>Need to confirm legal approval of using Commercial methodology for Specialist search results display are compliant with CMS Medicare regulations and Provider contracts.</t>
  </si>
  <si>
    <t xml:space="preserve">Will there need to be notification to Specialists and PCPs regarding new methodology for search display?  </t>
  </si>
  <si>
    <t>Jeff</t>
  </si>
  <si>
    <t>As an Anthem Medicare Provider Network Manager, when a Member searches for a Specialist, I want Provider Finder to sort search results so that they display in order of the best to the lowest personalized member/provider match and provider-based cost and quality score.</t>
  </si>
  <si>
    <t>MDO ranking and scores are not calculated for specialists.  
Member personalized search match should reuse the commercial personalized search and algorithms as much as possible.  The Commercial member/provider match is based on member demographic information and member claims history.  Source data for the Provider-based scoring is available for Medicare providers.
For Commercial, a Provider with a poor quality score displays at the bottom of the search results list.
Functionality is for individual providers only, not for facility providers.  As is the case for Commercial, there may be some Specialties excluded from this functionality because they are not applicable to online searches (such as hospitalists and anesthesiologists), they are not identified as an individual practitioner (such as physical and occupational therapists), contractual issues (such as accupuncurists or chiropractors), or nuances in background provider data.  
Need to consider changes to commercial logic required by Medicare regulations and provider contracts.</t>
  </si>
  <si>
    <t>See reference section for sample report provided by Commercial.</t>
  </si>
  <si>
    <t>As an Initiative Owner, I want a new dashboard report containing the following information so that I can monitor Smart Provider search utilization.  Report parameters include by state, search type (PCP or Specialist), Specialty Name, Ranking Type.
Executive Summary Information:
 * Total Searches
 * Average Daily Searches
 * Total Unique Members
 * Average Daily Members
 * Searches per Member
 * State Level Search Volumen
 * Top 15 Search Categories by Unique Member
 * Model Performance 
 * Search Plot
Operational Metrics:
 * Daily API Requests
 * Daily Requests By Ranking Type</t>
  </si>
  <si>
    <t xml:space="preserve">Create 2 new reports:
 * A new dashboard report to monitor Smart Provider search utilization.  
 * A new outcomes and valuation report to measure project success.  </t>
  </si>
  <si>
    <t>As an Initiative Owner, I want a new monthly outcomes and valuation report containing the following information so that I can measure the success of my project.
* Number of Users who searched for a PCP and visited a PCP within 6 months of their PCP Search
* Number of Users who searched for a Specialist and visited a Specialist within 6 months of their Specialist Search
* Paid office visit claim cost for Users who searched for a PCP and visited a PCP within 6 months of their PCP Search 
* Paid office visit claim cost for Users who searched for a Specialist and visited a Specialist within 6 months of their PCP Search 
* Cost savings for PCP office visit paid claim 
* Cost savings for Specialist office visit paid claim</t>
  </si>
  <si>
    <t>Change PCP Online Store Search Results Sorting (Non-Secure)</t>
  </si>
  <si>
    <t>Return to PCP Online Store Default Sorting (Non-Secure)</t>
  </si>
  <si>
    <t xml:space="preserve">Use the Commercial Smart Provider Finder methodology that combines the following as a basis for displaying Specialist search results:
 # a personalized member/provider match; and 
 # a provider-based cost and quality score. 
Functionality is for individual providers only, not for facility providers.  Functionality is for Members using Provider Finder only (not Online Shoppers).  Note that, as is the case for Commercial, there may be some Specialties excluded from this functionality because they are not applicable to online searches (such as hospitalists and anesthesiologists), they are not identified as an individual practitioner (such as physical and occupational therapists), contractual issues (such as accupuncurists or chiropractors), or nuances in background provider data.  </t>
  </si>
  <si>
    <t>A1.1</t>
  </si>
  <si>
    <t>A1.2</t>
  </si>
  <si>
    <t>A1.3</t>
  </si>
  <si>
    <t>A1.4</t>
  </si>
  <si>
    <t>A1.5</t>
  </si>
  <si>
    <t>A1.6</t>
  </si>
  <si>
    <t>A1.7</t>
  </si>
  <si>
    <t>B1.1</t>
  </si>
  <si>
    <t>B1.2</t>
  </si>
  <si>
    <t>B1.3</t>
  </si>
  <si>
    <t>C1.1</t>
  </si>
  <si>
    <t>C1.2</t>
  </si>
  <si>
    <t>Specialist Search Results</t>
  </si>
  <si>
    <t>Sample Commercial Dashboard Report</t>
  </si>
  <si>
    <t>Commercial Dashboard Report.msg</t>
  </si>
  <si>
    <t>https://share.antheminc.com/sites/SEGov/Initiation%20Project%20Docs/One%20Anthem/Stars%20and%20Risk%20Revenue/Medicare%20-Smart-%20Provider%20Finder/Commercial%20Dashboard%20Report.msg</t>
  </si>
  <si>
    <t xml:space="preserve">Mark Willcox, Initiation Manager
Bamford, Scott
Bates, Rebecca M. 
Brogden, Maribel
Culleiton, Mike 
Harris, Briana 
Mohanlal, Neema 
Ponugupati, Pattabhi R.
Reveley, Jeff 
Sessler, Aimee
Solipalayam Ayyasamy, Rajkumar
Sroka, Xenos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</si>
</sst>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
    <numFmt numFmtId="165" formatCode="0.0"/>
  </numFmts>
  <fonts count="70" x14ac:knownFonts="1">
    <font>
      <sz val="11"/>
      <color theme="1"/>
      <name val="Calibri"/>
      <family val="2"/>
      <scheme val="minor"/>
    </font>
    <font>
      <u/>
      <sz val="11"/>
      <color theme="10"/>
      <name val="Calibri"/>
      <family val="2"/>
    </font>
    <font>
      <b/>
      <sz val="11"/>
      <color theme="1"/>
      <name val="Calibri"/>
      <family val="2"/>
      <scheme val="minor"/>
    </font>
    <font>
      <b/>
      <sz val="24"/>
      <color theme="1"/>
      <name val="Calibri"/>
      <family val="2"/>
      <scheme val="minor"/>
    </font>
    <font>
      <sz val="11"/>
      <color theme="1"/>
      <name val="Calibri"/>
      <family val="2"/>
    </font>
    <font>
      <sz val="11"/>
      <name val="Calibri"/>
      <family val="2"/>
      <scheme val="minor"/>
    </font>
    <font>
      <u/>
      <sz val="11"/>
      <color theme="10"/>
      <name val="Calibri"/>
      <family val="2"/>
      <scheme val="minor"/>
    </font>
    <font>
      <b/>
      <sz val="14"/>
      <color theme="1"/>
      <name val="Calibri"/>
      <family val="2"/>
      <scheme val="minor"/>
    </font>
    <font>
      <i/>
      <u/>
      <sz val="12"/>
      <name val="Calibri"/>
      <family val="2"/>
    </font>
    <font>
      <b/>
      <sz val="12"/>
      <color theme="1"/>
      <name val="Calibri"/>
      <family val="2"/>
      <scheme val="minor"/>
    </font>
    <font>
      <sz val="12"/>
      <color theme="1"/>
      <name val="Calibri"/>
      <family val="2"/>
      <scheme val="minor"/>
    </font>
    <font>
      <sz val="9"/>
      <color theme="1"/>
      <name val="Calibri"/>
      <family val="2"/>
      <scheme val="minor"/>
    </font>
    <font>
      <b/>
      <sz val="11"/>
      <name val="Calibri"/>
      <family val="2"/>
      <scheme val="minor"/>
    </font>
    <font>
      <sz val="11"/>
      <color theme="1"/>
      <name val="Courier New"/>
      <family val="3"/>
    </font>
    <font>
      <sz val="8"/>
      <name val="Arial"/>
      <family val="2"/>
    </font>
    <font>
      <sz val="9"/>
      <color indexed="81"/>
      <name val="Tahoma"/>
      <family val="2"/>
    </font>
    <font>
      <b/>
      <sz val="9"/>
      <color indexed="81"/>
      <name val="Tahoma"/>
      <family val="2"/>
    </font>
    <font>
      <sz val="10"/>
      <color theme="1"/>
      <name val="Calibri"/>
      <family val="2"/>
      <scheme val="minor"/>
    </font>
    <font>
      <b/>
      <sz val="10"/>
      <color theme="0"/>
      <name val="Calibri"/>
      <family val="2"/>
      <scheme val="minor"/>
    </font>
    <font>
      <b/>
      <sz val="10"/>
      <color rgb="FFFFFF00"/>
      <name val="Calibri"/>
      <family val="2"/>
      <scheme val="minor"/>
    </font>
    <font>
      <b/>
      <sz val="10"/>
      <name val="Calibri"/>
      <family val="2"/>
      <scheme val="minor"/>
    </font>
    <font>
      <b/>
      <sz val="10"/>
      <color theme="1"/>
      <name val="Calibri"/>
      <family val="2"/>
      <scheme val="minor"/>
    </font>
    <font>
      <i/>
      <sz val="11"/>
      <name val="Calibri"/>
      <family val="2"/>
      <scheme val="minor"/>
    </font>
    <font>
      <u/>
      <sz val="16"/>
      <color theme="10"/>
      <name val="Calibri"/>
      <family val="2"/>
      <scheme val="minor"/>
    </font>
    <font>
      <b/>
      <sz val="12"/>
      <color rgb="FFFF0000"/>
      <name val="Calibri"/>
      <family val="2"/>
      <scheme val="minor"/>
    </font>
    <font>
      <b/>
      <sz val="14"/>
      <name val="Calibri"/>
      <family val="2"/>
      <scheme val="minor"/>
    </font>
    <font>
      <b/>
      <sz val="9"/>
      <color theme="0"/>
      <name val="Calibri"/>
      <family val="2"/>
      <scheme val="minor"/>
    </font>
    <font>
      <b/>
      <sz val="24"/>
      <name val="Arial"/>
      <family val="2"/>
    </font>
    <font>
      <b/>
      <i/>
      <sz val="9"/>
      <color rgb="FFFF0000"/>
      <name val="Calibri"/>
      <family val="2"/>
      <scheme val="minor"/>
    </font>
    <font>
      <b/>
      <sz val="10"/>
      <color rgb="FFFF0000"/>
      <name val="Calibri"/>
      <family val="2"/>
      <scheme val="minor"/>
    </font>
    <font>
      <sz val="9"/>
      <color theme="1"/>
      <name val="Corbel"/>
      <family val="2"/>
    </font>
    <font>
      <sz val="8"/>
      <color rgb="FF000000"/>
      <name val="Calibri"/>
      <family val="2"/>
    </font>
    <font>
      <sz val="11"/>
      <color rgb="FF000000"/>
      <name val="Calibri"/>
      <family val="2"/>
    </font>
    <font>
      <sz val="9"/>
      <color rgb="FF000000"/>
      <name val="Calibri"/>
      <family val="2"/>
    </font>
    <font>
      <b/>
      <i/>
      <sz val="11"/>
      <color theme="1"/>
      <name val="Calibri"/>
      <family val="2"/>
      <scheme val="minor"/>
    </font>
    <font>
      <b/>
      <i/>
      <sz val="14"/>
      <color theme="1"/>
      <name val="Calibri"/>
      <family val="2"/>
      <scheme val="minor"/>
    </font>
    <font>
      <b/>
      <sz val="12"/>
      <color theme="0"/>
      <name val="Calibri"/>
      <family val="2"/>
      <scheme val="minor"/>
    </font>
    <font>
      <b/>
      <i/>
      <sz val="11"/>
      <name val="Calibri"/>
      <family val="2"/>
      <scheme val="minor"/>
    </font>
    <font>
      <b/>
      <i/>
      <sz val="10"/>
      <name val="Calibri"/>
      <family val="2"/>
      <scheme val="minor"/>
    </font>
    <font>
      <b/>
      <i/>
      <sz val="9"/>
      <color theme="1"/>
      <name val="Calibri"/>
      <family val="2"/>
      <scheme val="minor"/>
    </font>
    <font>
      <b/>
      <sz val="11"/>
      <color theme="0"/>
      <name val="Calibri"/>
      <family val="2"/>
      <scheme val="minor"/>
    </font>
    <font>
      <b/>
      <sz val="9"/>
      <color rgb="FFC00000"/>
      <name val="Calibri"/>
      <family val="2"/>
      <scheme val="minor"/>
    </font>
    <font>
      <u/>
      <sz val="10"/>
      <color theme="10"/>
      <name val="Calibri"/>
      <family val="2"/>
    </font>
    <font>
      <sz val="18"/>
      <color theme="0"/>
      <name val="Calibri"/>
      <family val="2"/>
      <scheme val="minor"/>
    </font>
    <font>
      <b/>
      <sz val="18"/>
      <color theme="0"/>
      <name val="Calibri"/>
      <family val="2"/>
      <scheme val="minor"/>
    </font>
    <font>
      <sz val="14"/>
      <color theme="1"/>
      <name val="Calibri"/>
      <family val="2"/>
      <scheme val="minor"/>
    </font>
    <font>
      <i/>
      <sz val="9"/>
      <color theme="1"/>
      <name val="Calibri"/>
      <family val="2"/>
      <scheme val="minor"/>
    </font>
    <font>
      <sz val="11"/>
      <color theme="0"/>
      <name val="Calibri"/>
      <family val="2"/>
      <scheme val="minor"/>
    </font>
    <font>
      <sz val="11"/>
      <color rgb="FFFF0000"/>
      <name val="Calibri"/>
      <family val="2"/>
      <scheme val="minor"/>
    </font>
    <font>
      <b/>
      <i/>
      <sz val="11"/>
      <color theme="3"/>
      <name val="Calibri"/>
      <family val="2"/>
      <scheme val="minor"/>
    </font>
    <font>
      <u/>
      <sz val="11"/>
      <name val="Calibri"/>
      <family val="2"/>
      <scheme val="minor"/>
    </font>
    <font>
      <strike/>
      <sz val="11"/>
      <name val="Calibri"/>
      <family val="2"/>
      <scheme val="minor"/>
    </font>
    <font>
      <b/>
      <i/>
      <sz val="12"/>
      <color theme="1"/>
      <name val="Calibri"/>
      <family val="2"/>
      <scheme val="minor"/>
    </font>
    <font>
      <b/>
      <sz val="10"/>
      <color theme="5" tint="-0.249977111117893"/>
      <name val="Calibri"/>
      <family val="2"/>
      <scheme val="minor"/>
    </font>
    <font>
      <i/>
      <sz val="9"/>
      <color theme="1"/>
      <name val="Corbel"/>
      <family val="2"/>
    </font>
    <font>
      <sz val="10"/>
      <color rgb="FF000000"/>
      <name val="Calibri"/>
      <family val="2"/>
    </font>
    <font>
      <sz val="16"/>
      <color theme="0"/>
      <name val="Calibri"/>
      <family val="2"/>
      <scheme val="minor"/>
    </font>
    <font>
      <b/>
      <sz val="16"/>
      <color theme="0"/>
      <name val="Calibri"/>
      <family val="2"/>
      <scheme val="minor"/>
    </font>
    <font>
      <b/>
      <sz val="22"/>
      <color theme="0"/>
      <name val="Calibri"/>
      <family val="2"/>
      <scheme val="minor"/>
    </font>
    <font>
      <b/>
      <i/>
      <sz val="12"/>
      <color rgb="FFFF0000"/>
      <name val="Calibri"/>
      <family val="2"/>
      <scheme val="minor"/>
    </font>
    <font>
      <b/>
      <sz val="22"/>
      <color rgb="FF000000"/>
      <name val="Calibri"/>
      <family val="2"/>
    </font>
    <font>
      <b/>
      <sz val="9"/>
      <color theme="0"/>
      <name val="Calibri"/>
      <family val="2"/>
    </font>
    <font>
      <b/>
      <u/>
      <sz val="11"/>
      <color theme="10"/>
      <name val="Calibri"/>
      <family val="2"/>
    </font>
    <font>
      <b/>
      <sz val="9"/>
      <color theme="5" tint="-0.499984740745262"/>
      <name val="Calibri"/>
      <family val="2"/>
    </font>
    <font>
      <u/>
      <sz val="16"/>
      <color theme="0"/>
      <name val="Calibri"/>
      <family val="2"/>
      <scheme val="minor"/>
    </font>
    <font>
      <sz val="12"/>
      <color theme="0"/>
      <name val="Calibri"/>
      <family val="2"/>
      <scheme val="minor"/>
    </font>
    <font>
      <i/>
      <sz val="13"/>
      <color theme="0"/>
      <name val="Calibri"/>
      <family val="2"/>
      <scheme val="minor"/>
    </font>
    <font>
      <i/>
      <u/>
      <sz val="13"/>
      <color theme="0"/>
      <name val="Calibri"/>
      <family val="2"/>
      <scheme val="minor"/>
    </font>
    <font>
      <b/>
      <i/>
      <sz val="10"/>
      <color theme="1"/>
      <name val="Calibri"/>
      <family val="2"/>
      <scheme val="minor"/>
    </font>
    <font>
      <u/>
      <sz val="11"/>
      <color theme="1"/>
      <name val="Calibri"/>
      <family val="2"/>
    </font>
  </fonts>
  <fills count="24">
    <fill>
      <patternFill patternType="none"/>
    </fill>
    <fill>
      <patternFill patternType="gray125"/>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00B050"/>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bgColor theme="4"/>
      </patternFill>
    </fill>
    <fill>
      <patternFill patternType="solid">
        <fgColor theme="9"/>
        <bgColor indexed="64"/>
      </patternFill>
    </fill>
    <fill>
      <patternFill patternType="solid">
        <fgColor theme="5" tint="0.79998168889431442"/>
        <bgColor indexed="64"/>
      </patternFill>
    </fill>
    <fill>
      <patternFill patternType="solid">
        <fgColor theme="3"/>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1" tint="0.499984740745262"/>
        <bgColor indexed="64"/>
      </patternFill>
    </fill>
  </fills>
  <borders count="4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indexed="64"/>
      </bottom>
      <diagonal/>
    </border>
    <border>
      <left style="thin">
        <color auto="1"/>
      </left>
      <right style="medium">
        <color indexed="64"/>
      </right>
      <top/>
      <bottom style="thin">
        <color auto="1"/>
      </bottom>
      <diagonal/>
    </border>
    <border>
      <left style="thin">
        <color auto="1"/>
      </left>
      <right style="medium">
        <color auto="1"/>
      </right>
      <top style="thin">
        <color auto="1"/>
      </top>
      <bottom/>
      <diagonal/>
    </border>
    <border>
      <left style="medium">
        <color indexed="64"/>
      </left>
      <right style="thin">
        <color auto="1"/>
      </right>
      <top style="thin">
        <color auto="1"/>
      </top>
      <bottom/>
      <diagonal/>
    </border>
    <border>
      <left style="thin">
        <color auto="1"/>
      </left>
      <right style="medium">
        <color indexed="64"/>
      </right>
      <top style="thin">
        <color auto="1"/>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thin">
        <color indexed="64"/>
      </bottom>
      <diagonal/>
    </border>
    <border>
      <left style="thin">
        <color auto="1"/>
      </left>
      <right/>
      <top style="thin">
        <color auto="1"/>
      </top>
      <bottom style="thin">
        <color indexed="64"/>
      </bottom>
      <diagonal/>
    </border>
    <border>
      <left/>
      <right style="thin">
        <color indexed="64"/>
      </right>
      <top/>
      <bottom/>
      <diagonal/>
    </border>
    <border>
      <left/>
      <right/>
      <top style="thin">
        <color indexed="64"/>
      </top>
      <bottom/>
      <diagonal/>
    </border>
    <border>
      <left/>
      <right/>
      <top style="medium">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auto="1"/>
      </right>
      <top/>
      <bottom/>
      <diagonal/>
    </border>
    <border>
      <left style="thin">
        <color auto="1"/>
      </left>
      <right style="medium">
        <color auto="1"/>
      </right>
      <top/>
      <bottom/>
      <diagonal/>
    </border>
    <border>
      <left style="medium">
        <color indexed="64"/>
      </left>
      <right style="thin">
        <color auto="1"/>
      </right>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auto="1"/>
      </right>
      <top/>
      <bottom style="thin">
        <color auto="1"/>
      </bottom>
      <diagonal/>
    </border>
    <border>
      <left style="thin">
        <color auto="1"/>
      </left>
      <right/>
      <top/>
      <bottom style="thin">
        <color auto="1"/>
      </bottom>
      <diagonal/>
    </border>
    <border>
      <left style="thin">
        <color indexed="64"/>
      </left>
      <right/>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medium">
        <color indexed="64"/>
      </left>
      <right style="medium">
        <color indexed="64"/>
      </right>
      <top style="medium">
        <color indexed="64"/>
      </top>
      <bottom/>
      <diagonal/>
    </border>
  </borders>
  <cellStyleXfs count="3">
    <xf numFmtId="0" fontId="0" fillId="0" borderId="0"/>
    <xf numFmtId="0" fontId="1" fillId="0" borderId="0" applyNumberFormat="0" applyFill="0" applyBorder="0" applyAlignment="0" applyProtection="0">
      <alignment vertical="top"/>
      <protection locked="0"/>
    </xf>
    <xf numFmtId="0" fontId="14" fillId="0" borderId="0"/>
  </cellStyleXfs>
  <cellXfs count="279">
    <xf numFmtId="0" fontId="0" fillId="0" borderId="0" xfId="0"/>
    <xf numFmtId="0" fontId="2" fillId="0" borderId="0" xfId="0" applyFont="1"/>
    <xf numFmtId="0" fontId="0" fillId="0" borderId="0" xfId="0" applyBorder="1" applyAlignment="1">
      <alignment wrapText="1"/>
    </xf>
    <xf numFmtId="0" fontId="3" fillId="0" borderId="0" xfId="0" applyFont="1"/>
    <xf numFmtId="0" fontId="0" fillId="0" borderId="0" xfId="0" applyFont="1" applyProtection="1"/>
    <xf numFmtId="0" fontId="0" fillId="0" borderId="0" xfId="0" applyAlignment="1">
      <alignment wrapText="1"/>
    </xf>
    <xf numFmtId="0" fontId="0" fillId="0" borderId="0" xfId="0" applyFont="1" applyAlignment="1">
      <alignment wrapText="1"/>
    </xf>
    <xf numFmtId="0" fontId="0" fillId="4" borderId="10" xfId="0" applyFill="1" applyBorder="1" applyAlignment="1">
      <alignment horizontal="left" vertical="top" wrapText="1"/>
    </xf>
    <xf numFmtId="0" fontId="8" fillId="4" borderId="11" xfId="1" applyFont="1" applyFill="1" applyBorder="1" applyAlignment="1" applyProtection="1">
      <alignment horizontal="left" vertical="top" wrapText="1"/>
    </xf>
    <xf numFmtId="0" fontId="0" fillId="3" borderId="10" xfId="0" applyFill="1" applyBorder="1" applyAlignment="1">
      <alignment horizontal="left" vertical="top" wrapText="1"/>
    </xf>
    <xf numFmtId="0" fontId="0" fillId="0" borderId="0" xfId="0"/>
    <xf numFmtId="0" fontId="0" fillId="0" borderId="0" xfId="0" applyFont="1" applyFill="1" applyProtection="1"/>
    <xf numFmtId="0" fontId="2" fillId="2" borderId="1" xfId="0" applyFont="1" applyFill="1" applyBorder="1" applyAlignment="1">
      <alignment horizontal="center" vertical="top" wrapText="1"/>
    </xf>
    <xf numFmtId="164" fontId="0" fillId="0" borderId="0" xfId="0" applyNumberFormat="1" applyBorder="1" applyAlignment="1">
      <alignment wrapText="1"/>
    </xf>
    <xf numFmtId="2" fontId="12" fillId="2" borderId="1" xfId="0" applyNumberFormat="1" applyFont="1" applyFill="1" applyBorder="1" applyAlignment="1">
      <alignment horizontal="center" vertical="top" wrapText="1"/>
    </xf>
    <xf numFmtId="0" fontId="2" fillId="0" borderId="0" xfId="0" applyFont="1" applyBorder="1" applyAlignment="1">
      <alignment wrapText="1"/>
    </xf>
    <xf numFmtId="0" fontId="1" fillId="4" borderId="11" xfId="1" applyFill="1" applyBorder="1" applyAlignment="1" applyProtection="1">
      <alignment horizontal="left" vertical="top" wrapText="1"/>
    </xf>
    <xf numFmtId="0" fontId="0" fillId="4" borderId="16" xfId="0" applyFill="1" applyBorder="1"/>
    <xf numFmtId="0" fontId="0" fillId="10" borderId="16" xfId="0" applyFill="1" applyBorder="1"/>
    <xf numFmtId="0" fontId="12" fillId="2" borderId="1" xfId="0" applyFont="1" applyFill="1" applyBorder="1" applyAlignment="1">
      <alignment horizontal="center" vertical="top" wrapText="1"/>
    </xf>
    <xf numFmtId="0" fontId="0" fillId="4" borderId="16" xfId="0" applyFill="1" applyBorder="1" applyAlignment="1">
      <alignment wrapText="1"/>
    </xf>
    <xf numFmtId="0" fontId="0" fillId="10" borderId="16" xfId="0" applyFill="1" applyBorder="1" applyAlignment="1">
      <alignment wrapText="1"/>
    </xf>
    <xf numFmtId="0" fontId="0" fillId="0" borderId="0" xfId="0" applyAlignment="1">
      <alignment vertical="top" wrapText="1"/>
    </xf>
    <xf numFmtId="0" fontId="0" fillId="0" borderId="0" xfId="0" applyNumberFormat="1" applyAlignment="1">
      <alignment vertical="top" wrapText="1"/>
    </xf>
    <xf numFmtId="0" fontId="0" fillId="0" borderId="0" xfId="0" applyFont="1" applyAlignment="1" applyProtection="1">
      <alignment horizontal="left" vertical="top" wrapText="1"/>
      <protection locked="0"/>
    </xf>
    <xf numFmtId="0" fontId="0" fillId="0" borderId="0" xfId="0" applyAlignment="1" applyProtection="1">
      <alignment vertical="top" wrapText="1"/>
      <protection locked="0"/>
    </xf>
    <xf numFmtId="0" fontId="0" fillId="0" borderId="0" xfId="0" applyFont="1" applyAlignment="1" applyProtection="1">
      <alignment vertical="top" wrapText="1"/>
      <protection locked="0"/>
    </xf>
    <xf numFmtId="2" fontId="2" fillId="2" borderId="1" xfId="0" applyNumberFormat="1" applyFont="1" applyFill="1" applyBorder="1" applyAlignment="1">
      <alignment horizontal="center" vertical="top" wrapText="1"/>
    </xf>
    <xf numFmtId="0" fontId="2" fillId="2" borderId="0" xfId="0" applyFont="1" applyFill="1" applyBorder="1" applyAlignment="1">
      <alignment wrapText="1"/>
    </xf>
    <xf numFmtId="164" fontId="2" fillId="2" borderId="0" xfId="0" applyNumberFormat="1" applyFont="1" applyFill="1" applyBorder="1" applyAlignment="1">
      <alignment wrapText="1"/>
    </xf>
    <xf numFmtId="0" fontId="0" fillId="0" borderId="0" xfId="0" applyFont="1" applyBorder="1" applyAlignment="1" applyProtection="1">
      <alignment wrapText="1"/>
      <protection locked="0"/>
    </xf>
    <xf numFmtId="14" fontId="0" fillId="0" borderId="0" xfId="0" applyNumberFormat="1" applyFont="1" applyAlignment="1" applyProtection="1">
      <protection locked="0"/>
    </xf>
    <xf numFmtId="0" fontId="0" fillId="0" borderId="0" xfId="0" applyFont="1" applyAlignment="1" applyProtection="1">
      <protection locked="0"/>
    </xf>
    <xf numFmtId="0" fontId="0" fillId="0" borderId="15" xfId="0" applyFont="1" applyFill="1" applyBorder="1" applyAlignment="1" applyProtection="1">
      <alignment horizontal="left" vertical="top" wrapText="1"/>
      <protection locked="0"/>
    </xf>
    <xf numFmtId="0" fontId="0" fillId="0" borderId="15" xfId="0" applyFont="1" applyFill="1" applyBorder="1" applyAlignment="1" applyProtection="1">
      <alignment horizontal="left" vertical="top"/>
    </xf>
    <xf numFmtId="0" fontId="17" fillId="0" borderId="0" xfId="0" applyFont="1" applyAlignment="1">
      <alignment horizontal="left" vertical="top" wrapText="1"/>
    </xf>
    <xf numFmtId="0" fontId="17" fillId="0" borderId="0" xfId="0" applyFont="1" applyBorder="1" applyAlignment="1">
      <alignment horizontal="left" vertical="top" wrapText="1"/>
    </xf>
    <xf numFmtId="0" fontId="17" fillId="0" borderId="0" xfId="0" applyFont="1" applyFill="1" applyAlignment="1">
      <alignment horizontal="left" vertical="top" wrapText="1"/>
    </xf>
    <xf numFmtId="0" fontId="21" fillId="5" borderId="0" xfId="0" applyFont="1" applyFill="1" applyAlignment="1">
      <alignment horizontal="left" vertical="top" wrapText="1"/>
    </xf>
    <xf numFmtId="0" fontId="21" fillId="5" borderId="0" xfId="0" applyFont="1" applyFill="1" applyBorder="1" applyAlignment="1">
      <alignment horizontal="left" vertical="top" wrapText="1"/>
    </xf>
    <xf numFmtId="0" fontId="2" fillId="9" borderId="16" xfId="0" applyFont="1" applyFill="1" applyBorder="1"/>
    <xf numFmtId="0" fontId="2" fillId="9" borderId="16" xfId="0" applyFont="1" applyFill="1" applyBorder="1" applyAlignment="1">
      <alignment wrapText="1"/>
    </xf>
    <xf numFmtId="0" fontId="2" fillId="6" borderId="15" xfId="0" applyNumberFormat="1" applyFont="1" applyFill="1" applyBorder="1" applyAlignment="1" applyProtection="1">
      <alignment horizontal="center" vertical="top" wrapText="1"/>
    </xf>
    <xf numFmtId="0" fontId="2" fillId="6" borderId="15" xfId="0" applyFont="1" applyFill="1" applyBorder="1" applyAlignment="1" applyProtection="1">
      <alignment horizontal="center" vertical="top" wrapText="1"/>
      <protection locked="0"/>
    </xf>
    <xf numFmtId="0" fontId="0" fillId="0" borderId="0" xfId="0" applyAlignment="1" applyProtection="1">
      <alignment horizontal="center" vertical="top" wrapText="1"/>
      <protection locked="0"/>
    </xf>
    <xf numFmtId="0" fontId="0" fillId="0" borderId="0" xfId="0" applyFont="1" applyAlignment="1" applyProtection="1">
      <alignment horizontal="center" vertical="top" wrapText="1"/>
      <protection locked="0"/>
    </xf>
    <xf numFmtId="0" fontId="0" fillId="0" borderId="0" xfId="0" applyFont="1" applyBorder="1" applyAlignment="1" applyProtection="1">
      <alignment horizontal="center" vertical="top" wrapText="1"/>
    </xf>
    <xf numFmtId="0" fontId="0" fillId="0" borderId="0" xfId="0" applyFont="1" applyBorder="1" applyAlignment="1" applyProtection="1">
      <alignment horizontal="left" vertical="top" wrapText="1"/>
    </xf>
    <xf numFmtId="0" fontId="0" fillId="0" borderId="0" xfId="0" applyFont="1" applyAlignment="1">
      <alignment horizontal="left" vertical="top" wrapText="1"/>
    </xf>
    <xf numFmtId="49" fontId="0" fillId="0" borderId="0" xfId="0" applyNumberFormat="1" applyFont="1" applyBorder="1" applyAlignment="1" applyProtection="1">
      <alignment horizontal="left" vertical="top" wrapText="1"/>
      <protection locked="0"/>
    </xf>
    <xf numFmtId="2" fontId="17" fillId="0" borderId="0" xfId="0" applyNumberFormat="1" applyFont="1" applyBorder="1" applyAlignment="1" applyProtection="1">
      <alignment horizontal="left" vertical="top" wrapText="1"/>
      <protection locked="0"/>
    </xf>
    <xf numFmtId="49" fontId="0" fillId="0" borderId="0" xfId="0" applyNumberFormat="1" applyAlignment="1">
      <alignment vertical="top" wrapText="1"/>
    </xf>
    <xf numFmtId="49" fontId="2" fillId="6" borderId="15" xfId="0" applyNumberFormat="1" applyFont="1" applyFill="1" applyBorder="1" applyAlignment="1" applyProtection="1">
      <alignment horizontal="center" vertical="top" wrapText="1"/>
    </xf>
    <xf numFmtId="0" fontId="0" fillId="0" borderId="0" xfId="0" applyFont="1" applyFill="1" applyBorder="1" applyAlignment="1" applyProtection="1">
      <alignment horizontal="left" vertical="top" wrapText="1"/>
      <protection locked="0"/>
    </xf>
    <xf numFmtId="0" fontId="0" fillId="8" borderId="2" xfId="0" applyFont="1" applyFill="1" applyBorder="1" applyAlignment="1">
      <alignment wrapText="1"/>
    </xf>
    <xf numFmtId="14" fontId="0" fillId="8" borderId="5" xfId="0" applyNumberFormat="1" applyFont="1" applyFill="1" applyBorder="1" applyAlignment="1" applyProtection="1">
      <protection locked="0"/>
    </xf>
    <xf numFmtId="0" fontId="0" fillId="8" borderId="5" xfId="0" applyFont="1" applyFill="1" applyBorder="1" applyAlignment="1" applyProtection="1">
      <protection locked="0"/>
    </xf>
    <xf numFmtId="0" fontId="0" fillId="8" borderId="5" xfId="0" applyFont="1" applyFill="1" applyBorder="1" applyProtection="1"/>
    <xf numFmtId="14" fontId="4" fillId="0" borderId="0" xfId="0" applyNumberFormat="1" applyFont="1" applyFill="1" applyAlignment="1" applyProtection="1">
      <alignment horizontal="center" vertical="top" wrapText="1"/>
      <protection locked="0"/>
    </xf>
    <xf numFmtId="0" fontId="4" fillId="0" borderId="0" xfId="0" applyNumberFormat="1" applyFont="1" applyFill="1" applyAlignment="1" applyProtection="1">
      <alignment horizontal="left" vertical="top" wrapText="1"/>
      <protection locked="0"/>
    </xf>
    <xf numFmtId="0" fontId="0" fillId="0" borderId="18" xfId="0" applyFont="1" applyFill="1" applyBorder="1" applyAlignment="1">
      <alignment horizontal="left" vertical="center" wrapText="1"/>
    </xf>
    <xf numFmtId="0" fontId="0" fillId="0" borderId="26" xfId="0" applyFont="1" applyFill="1" applyBorder="1" applyAlignment="1">
      <alignment horizontal="left" vertical="center" wrapText="1"/>
    </xf>
    <xf numFmtId="0" fontId="0" fillId="0" borderId="22" xfId="0" applyFont="1" applyFill="1" applyBorder="1" applyAlignment="1">
      <alignment horizontal="left" vertical="center" wrapText="1"/>
    </xf>
    <xf numFmtId="0" fontId="0" fillId="0" borderId="21" xfId="0" applyFont="1" applyFill="1" applyBorder="1" applyAlignment="1">
      <alignment horizontal="left" vertical="center" wrapText="1"/>
    </xf>
    <xf numFmtId="0" fontId="0" fillId="0" borderId="18" xfId="0" applyFont="1" applyFill="1" applyBorder="1" applyAlignment="1" applyProtection="1">
      <alignment horizontal="left" vertical="center" wrapText="1"/>
      <protection locked="0"/>
    </xf>
    <xf numFmtId="0" fontId="0" fillId="0" borderId="26" xfId="0" applyFont="1" applyFill="1" applyBorder="1" applyAlignment="1" applyProtection="1">
      <alignment horizontal="left" vertical="center" wrapText="1"/>
      <protection locked="0"/>
    </xf>
    <xf numFmtId="0" fontId="0" fillId="0" borderId="22" xfId="0" applyFont="1" applyFill="1" applyBorder="1" applyAlignment="1" applyProtection="1">
      <alignment horizontal="left" vertical="center" wrapText="1"/>
      <protection locked="0"/>
    </xf>
    <xf numFmtId="0" fontId="0" fillId="0" borderId="21" xfId="0" applyFont="1" applyFill="1" applyBorder="1" applyAlignment="1" applyProtection="1">
      <alignment horizontal="left" vertical="center" wrapText="1"/>
      <protection locked="0"/>
    </xf>
    <xf numFmtId="0" fontId="4" fillId="0" borderId="0" xfId="0" applyNumberFormat="1" applyFont="1" applyFill="1" applyBorder="1" applyAlignment="1" applyProtection="1">
      <alignment horizontal="left" vertical="top" wrapText="1"/>
      <protection locked="0"/>
    </xf>
    <xf numFmtId="0" fontId="0" fillId="0" borderId="0" xfId="0" applyFont="1" applyFill="1" applyBorder="1" applyProtection="1"/>
    <xf numFmtId="0" fontId="0" fillId="0" borderId="0" xfId="0" applyFont="1" applyAlignment="1">
      <alignment vertical="top"/>
    </xf>
    <xf numFmtId="0" fontId="0" fillId="0" borderId="0" xfId="0" applyFont="1" applyAlignment="1">
      <alignment horizontal="center" vertical="top"/>
    </xf>
    <xf numFmtId="0" fontId="0" fillId="0" borderId="0" xfId="0" applyFont="1" applyAlignment="1" applyProtection="1">
      <alignment horizontal="center" vertical="top"/>
      <protection locked="0"/>
    </xf>
    <xf numFmtId="0" fontId="0" fillId="11" borderId="0" xfId="0" applyFill="1" applyBorder="1" applyAlignment="1">
      <alignment vertical="top"/>
    </xf>
    <xf numFmtId="0" fontId="34" fillId="11" borderId="0" xfId="0" applyFont="1" applyFill="1" applyBorder="1" applyAlignment="1">
      <alignment vertical="top"/>
    </xf>
    <xf numFmtId="165" fontId="0" fillId="11" borderId="0" xfId="0" applyNumberFormat="1" applyFill="1" applyBorder="1" applyAlignment="1">
      <alignment vertical="top"/>
    </xf>
    <xf numFmtId="0" fontId="0" fillId="0" borderId="0" xfId="0" applyAlignment="1">
      <alignment vertical="top"/>
    </xf>
    <xf numFmtId="0" fontId="0" fillId="8" borderId="0" xfId="0" applyFont="1" applyFill="1" applyAlignment="1">
      <alignment horizontal="left" vertical="top" wrapText="1"/>
    </xf>
    <xf numFmtId="0" fontId="0" fillId="11" borderId="0" xfId="0" applyFill="1" applyBorder="1" applyAlignment="1">
      <alignment vertical="top" wrapText="1"/>
    </xf>
    <xf numFmtId="0" fontId="0" fillId="11" borderId="28" xfId="0" applyFill="1" applyBorder="1" applyAlignment="1">
      <alignment vertical="top"/>
    </xf>
    <xf numFmtId="0" fontId="0" fillId="11" borderId="28" xfId="0" applyFill="1" applyBorder="1" applyAlignment="1">
      <alignment horizontal="left" vertical="top" wrapText="1"/>
    </xf>
    <xf numFmtId="0" fontId="2" fillId="11" borderId="0" xfId="0" applyFont="1" applyFill="1" applyBorder="1" applyAlignment="1">
      <alignment vertical="top"/>
    </xf>
    <xf numFmtId="0" fontId="0" fillId="11" borderId="29" xfId="0" applyFont="1" applyFill="1" applyBorder="1" applyAlignment="1">
      <alignment horizontal="left" vertical="top" wrapText="1"/>
    </xf>
    <xf numFmtId="0" fontId="0" fillId="11" borderId="29" xfId="0" applyFill="1" applyBorder="1" applyAlignment="1">
      <alignment horizontal="left" vertical="top" wrapText="1"/>
    </xf>
    <xf numFmtId="0" fontId="2" fillId="0" borderId="0" xfId="0" applyFont="1" applyAlignment="1">
      <alignment vertical="top"/>
    </xf>
    <xf numFmtId="0" fontId="2" fillId="12" borderId="1" xfId="0" applyFont="1" applyFill="1" applyBorder="1" applyAlignment="1" applyProtection="1">
      <alignment horizontal="center" vertical="center" wrapText="1"/>
    </xf>
    <xf numFmtId="0" fontId="2" fillId="12" borderId="1" xfId="0" applyFont="1" applyFill="1" applyBorder="1" applyAlignment="1" applyProtection="1">
      <alignment horizontal="center" vertical="top" wrapText="1"/>
      <protection locked="0"/>
    </xf>
    <xf numFmtId="0" fontId="7" fillId="12" borderId="13" xfId="0" applyFont="1" applyFill="1" applyBorder="1" applyAlignment="1" applyProtection="1">
      <alignment horizontal="left" vertical="top" wrapText="1"/>
    </xf>
    <xf numFmtId="0" fontId="7" fillId="12" borderId="18" xfId="0" applyFont="1" applyFill="1" applyBorder="1" applyAlignment="1" applyProtection="1">
      <alignment horizontal="left" vertical="top" wrapText="1"/>
    </xf>
    <xf numFmtId="0" fontId="12" fillId="12" borderId="18" xfId="0" applyFont="1" applyFill="1" applyBorder="1" applyAlignment="1" applyProtection="1">
      <alignment horizontal="left" vertical="top" wrapText="1"/>
    </xf>
    <xf numFmtId="0" fontId="12" fillId="12" borderId="22" xfId="0" applyFont="1" applyFill="1" applyBorder="1" applyAlignment="1" applyProtection="1">
      <alignment horizontal="left" vertical="top" wrapText="1"/>
    </xf>
    <xf numFmtId="0" fontId="12" fillId="12" borderId="22" xfId="0" applyFont="1" applyFill="1" applyBorder="1" applyAlignment="1" applyProtection="1">
      <alignment horizontal="left" vertical="center" wrapText="1"/>
    </xf>
    <xf numFmtId="0" fontId="12" fillId="12" borderId="25" xfId="0" applyFont="1" applyFill="1" applyBorder="1" applyAlignment="1" applyProtection="1">
      <alignment horizontal="left" vertical="top" wrapText="1"/>
    </xf>
    <xf numFmtId="0" fontId="40" fillId="13" borderId="32" xfId="0" applyFont="1" applyFill="1" applyBorder="1" applyAlignment="1">
      <alignment wrapText="1"/>
    </xf>
    <xf numFmtId="0" fontId="0" fillId="14" borderId="30" xfId="0" applyFont="1" applyFill="1" applyBorder="1" applyAlignment="1">
      <alignment vertical="top" wrapText="1"/>
    </xf>
    <xf numFmtId="0" fontId="40" fillId="13" borderId="31" xfId="0" applyFont="1" applyFill="1" applyBorder="1" applyAlignment="1">
      <alignment wrapText="1"/>
    </xf>
    <xf numFmtId="0" fontId="40" fillId="13" borderId="33" xfId="0" applyFont="1" applyFill="1" applyBorder="1" applyAlignment="1">
      <alignment wrapText="1"/>
    </xf>
    <xf numFmtId="0" fontId="10" fillId="8" borderId="5" xfId="0" applyFont="1" applyFill="1" applyBorder="1" applyAlignment="1">
      <alignment vertical="top" wrapText="1"/>
    </xf>
    <xf numFmtId="0" fontId="0" fillId="15" borderId="0" xfId="0" applyFill="1" applyBorder="1" applyAlignment="1">
      <alignment vertical="top"/>
    </xf>
    <xf numFmtId="0" fontId="0" fillId="15" borderId="28" xfId="0" applyFill="1" applyBorder="1" applyAlignment="1">
      <alignment vertical="top"/>
    </xf>
    <xf numFmtId="0" fontId="0" fillId="11" borderId="0" xfId="0" applyFill="1" applyBorder="1" applyAlignment="1">
      <alignment horizontal="left" vertical="top" wrapText="1"/>
    </xf>
    <xf numFmtId="0" fontId="0" fillId="11" borderId="0" xfId="0" applyFont="1" applyFill="1" applyBorder="1" applyAlignment="1">
      <alignment horizontal="left" vertical="top" wrapText="1"/>
    </xf>
    <xf numFmtId="14" fontId="0" fillId="8" borderId="6" xfId="0" applyNumberFormat="1" applyFont="1" applyFill="1" applyBorder="1" applyAlignment="1">
      <alignment horizontal="left" vertical="top" wrapText="1"/>
    </xf>
    <xf numFmtId="14" fontId="12" fillId="2" borderId="1" xfId="0" applyNumberFormat="1" applyFont="1" applyFill="1" applyBorder="1" applyAlignment="1">
      <alignment horizontal="center" vertical="top" wrapText="1"/>
    </xf>
    <xf numFmtId="14" fontId="0" fillId="0" borderId="0" xfId="0" applyNumberFormat="1" applyFont="1" applyBorder="1" applyAlignment="1" applyProtection="1">
      <alignment horizontal="left" vertical="top" wrapText="1"/>
    </xf>
    <xf numFmtId="14" fontId="0" fillId="0" borderId="0" xfId="0" applyNumberFormat="1" applyFont="1" applyAlignment="1">
      <alignment horizontal="left" vertical="top" wrapText="1"/>
    </xf>
    <xf numFmtId="2" fontId="0" fillId="8" borderId="5" xfId="0" applyNumberFormat="1" applyFont="1" applyFill="1" applyBorder="1" applyAlignment="1">
      <alignment vertical="top" wrapText="1"/>
    </xf>
    <xf numFmtId="0" fontId="7" fillId="15" borderId="19" xfId="0" applyFont="1" applyFill="1" applyBorder="1" applyAlignment="1">
      <alignment horizontal="justify" vertical="top" wrapText="1"/>
    </xf>
    <xf numFmtId="0" fontId="7" fillId="15" borderId="24" xfId="0" applyFont="1" applyFill="1" applyBorder="1" applyAlignment="1">
      <alignment horizontal="justify" vertical="top" wrapText="1"/>
    </xf>
    <xf numFmtId="0" fontId="7" fillId="21" borderId="18" xfId="0" applyFont="1" applyFill="1" applyBorder="1" applyAlignment="1" applyProtection="1">
      <alignment horizontal="left" wrapText="1"/>
    </xf>
    <xf numFmtId="0" fontId="25" fillId="21" borderId="18" xfId="0" applyFont="1" applyFill="1" applyBorder="1" applyAlignment="1" applyProtection="1">
      <alignment horizontal="left" wrapText="1"/>
    </xf>
    <xf numFmtId="0" fontId="25" fillId="21" borderId="22" xfId="0" applyFont="1" applyFill="1" applyBorder="1" applyAlignment="1" applyProtection="1">
      <alignment horizontal="left" wrapText="1"/>
    </xf>
    <xf numFmtId="0" fontId="7" fillId="21" borderId="23" xfId="0" applyFont="1" applyFill="1" applyBorder="1" applyAlignment="1">
      <alignment horizontal="justify" vertical="top" wrapText="1"/>
    </xf>
    <xf numFmtId="0" fontId="7" fillId="21" borderId="25" xfId="0" applyFont="1" applyFill="1" applyBorder="1" applyAlignment="1" applyProtection="1">
      <alignment horizontal="left" wrapText="1"/>
    </xf>
    <xf numFmtId="0" fontId="0" fillId="0" borderId="36" xfId="0" applyFont="1" applyFill="1" applyBorder="1" applyAlignment="1" applyProtection="1">
      <alignment horizontal="left" vertical="center" wrapText="1"/>
      <protection locked="0"/>
    </xf>
    <xf numFmtId="0" fontId="0" fillId="0" borderId="37" xfId="0" applyFont="1" applyFill="1" applyBorder="1" applyAlignment="1" applyProtection="1">
      <alignment horizontal="left" vertical="center" wrapText="1"/>
      <protection locked="0"/>
    </xf>
    <xf numFmtId="0" fontId="2" fillId="12" borderId="1" xfId="0" applyFont="1" applyFill="1" applyBorder="1" applyAlignment="1" applyProtection="1">
      <alignment horizontal="center" vertical="center" wrapText="1"/>
      <protection locked="0"/>
    </xf>
    <xf numFmtId="0" fontId="7" fillId="12" borderId="22" xfId="0" applyFont="1" applyFill="1" applyBorder="1" applyAlignment="1" applyProtection="1">
      <alignment horizontal="left" vertical="top" wrapText="1"/>
    </xf>
    <xf numFmtId="0" fontId="7" fillId="21" borderId="38" xfId="0" applyFont="1" applyFill="1" applyBorder="1" applyAlignment="1" applyProtection="1">
      <alignment horizontal="left" wrapText="1"/>
    </xf>
    <xf numFmtId="0" fontId="7" fillId="15" borderId="20" xfId="0" applyFont="1" applyFill="1" applyBorder="1" applyAlignment="1">
      <alignment horizontal="justify" vertical="top" wrapText="1"/>
    </xf>
    <xf numFmtId="0" fontId="0" fillId="5" borderId="0" xfId="0" applyFont="1" applyFill="1" applyProtection="1"/>
    <xf numFmtId="0" fontId="0" fillId="5" borderId="0" xfId="0" applyFont="1" applyFill="1" applyBorder="1" applyProtection="1"/>
    <xf numFmtId="0" fontId="0" fillId="5" borderId="0" xfId="0" applyFont="1" applyFill="1" applyAlignment="1">
      <alignment wrapText="1"/>
    </xf>
    <xf numFmtId="0" fontId="5" fillId="0" borderId="26" xfId="0" applyFont="1" applyFill="1" applyBorder="1" applyAlignment="1">
      <alignment horizontal="justify" vertical="top" wrapText="1"/>
    </xf>
    <xf numFmtId="0" fontId="5" fillId="0" borderId="20" xfId="0" applyNumberFormat="1" applyFont="1" applyFill="1" applyBorder="1" applyAlignment="1">
      <alignment horizontal="justify" vertical="top" wrapText="1"/>
    </xf>
    <xf numFmtId="0" fontId="0" fillId="0" borderId="21" xfId="0" applyFont="1" applyFill="1" applyBorder="1" applyAlignment="1">
      <alignment horizontal="justify" vertical="top" wrapText="1"/>
    </xf>
    <xf numFmtId="49" fontId="5" fillId="0" borderId="21" xfId="0" applyNumberFormat="1" applyFont="1" applyFill="1" applyBorder="1" applyAlignment="1">
      <alignment horizontal="left" vertical="top" wrapText="1"/>
    </xf>
    <xf numFmtId="49" fontId="5" fillId="0" borderId="24" xfId="0" applyNumberFormat="1" applyFont="1" applyFill="1" applyBorder="1" applyAlignment="1">
      <alignment horizontal="justify" vertical="top" wrapText="1"/>
    </xf>
    <xf numFmtId="0" fontId="0" fillId="0" borderId="18" xfId="0" applyFont="1" applyFill="1" applyBorder="1" applyAlignment="1" applyProtection="1">
      <alignment vertical="top" wrapText="1"/>
      <protection locked="0"/>
    </xf>
    <xf numFmtId="0" fontId="0" fillId="0" borderId="27" xfId="0" applyFont="1" applyFill="1" applyBorder="1" applyAlignment="1" applyProtection="1">
      <alignment vertical="top" wrapText="1"/>
      <protection locked="0"/>
    </xf>
    <xf numFmtId="0" fontId="0" fillId="0" borderId="14" xfId="0" applyFont="1" applyFill="1" applyBorder="1" applyAlignment="1" applyProtection="1">
      <alignment horizontal="left"/>
    </xf>
    <xf numFmtId="0" fontId="0" fillId="0" borderId="20" xfId="0" applyFont="1" applyFill="1" applyBorder="1" applyAlignment="1" applyProtection="1">
      <alignment horizontal="left"/>
    </xf>
    <xf numFmtId="0" fontId="0" fillId="0" borderId="24" xfId="0" applyFont="1" applyFill="1" applyBorder="1" applyAlignment="1" applyProtection="1">
      <alignment horizontal="left"/>
    </xf>
    <xf numFmtId="0" fontId="0" fillId="0" borderId="13" xfId="0" applyFont="1" applyFill="1" applyBorder="1" applyAlignment="1">
      <alignment vertical="center" wrapText="1"/>
    </xf>
    <xf numFmtId="0" fontId="5" fillId="0" borderId="39" xfId="1" applyFont="1" applyFill="1" applyBorder="1" applyAlignment="1" applyProtection="1">
      <alignment vertical="center" wrapText="1"/>
    </xf>
    <xf numFmtId="14" fontId="0" fillId="0" borderId="14" xfId="0" applyNumberFormat="1" applyFont="1" applyFill="1" applyBorder="1" applyAlignment="1">
      <alignment vertical="top" wrapText="1"/>
    </xf>
    <xf numFmtId="0" fontId="0" fillId="0" borderId="18" xfId="0" applyFont="1" applyFill="1" applyBorder="1" applyAlignment="1">
      <alignment vertical="center" wrapText="1"/>
    </xf>
    <xf numFmtId="0" fontId="22" fillId="0" borderId="16" xfId="1" applyFont="1" applyFill="1" applyBorder="1" applyAlignment="1" applyProtection="1">
      <alignment vertical="center" wrapText="1"/>
    </xf>
    <xf numFmtId="14" fontId="0" fillId="0" borderId="26" xfId="0" applyNumberFormat="1" applyFont="1" applyFill="1" applyBorder="1" applyAlignment="1">
      <alignment vertical="top" wrapText="1"/>
    </xf>
    <xf numFmtId="0" fontId="5" fillId="0" borderId="18" xfId="0" applyFont="1" applyFill="1" applyBorder="1" applyAlignment="1">
      <alignment vertical="center" wrapText="1"/>
    </xf>
    <xf numFmtId="0" fontId="0" fillId="0" borderId="16" xfId="0" applyFont="1" applyFill="1" applyBorder="1" applyAlignment="1">
      <alignment vertical="center" wrapText="1"/>
    </xf>
    <xf numFmtId="0" fontId="5" fillId="0" borderId="25" xfId="0" applyFont="1" applyFill="1" applyBorder="1" applyAlignment="1">
      <alignment vertical="center" wrapText="1"/>
    </xf>
    <xf numFmtId="0" fontId="0" fillId="0" borderId="40" xfId="0" applyFont="1" applyFill="1" applyBorder="1" applyAlignment="1">
      <alignment vertical="center" wrapText="1"/>
    </xf>
    <xf numFmtId="0" fontId="42" fillId="0" borderId="40" xfId="1" applyFont="1" applyFill="1" applyBorder="1" applyAlignment="1" applyProtection="1">
      <alignment vertical="top" wrapText="1"/>
    </xf>
    <xf numFmtId="14" fontId="0" fillId="0" borderId="24" xfId="0" applyNumberFormat="1" applyFont="1" applyFill="1" applyBorder="1" applyAlignment="1">
      <alignment vertical="top" wrapText="1"/>
    </xf>
    <xf numFmtId="0" fontId="2" fillId="12" borderId="0" xfId="0" applyFont="1" applyFill="1" applyAlignment="1" applyProtection="1">
      <alignment horizontal="center" wrapText="1"/>
      <protection locked="0"/>
    </xf>
    <xf numFmtId="0" fontId="2" fillId="12" borderId="0" xfId="0" applyFont="1" applyFill="1" applyAlignment="1" applyProtection="1">
      <alignment horizontal="center" vertical="top" wrapText="1"/>
      <protection locked="0"/>
    </xf>
    <xf numFmtId="0" fontId="12" fillId="12" borderId="0" xfId="0" applyFont="1" applyFill="1" applyAlignment="1" applyProtection="1">
      <alignment horizontal="center" vertical="top" wrapText="1"/>
    </xf>
    <xf numFmtId="2" fontId="25" fillId="12" borderId="7" xfId="0" applyNumberFormat="1" applyFont="1" applyFill="1" applyBorder="1" applyAlignment="1">
      <alignment vertical="center" wrapText="1"/>
    </xf>
    <xf numFmtId="14" fontId="0" fillId="12" borderId="0" xfId="0" applyNumberFormat="1" applyFont="1" applyFill="1" applyBorder="1" applyAlignment="1" applyProtection="1">
      <alignment horizontal="center" vertical="top" wrapText="1"/>
    </xf>
    <xf numFmtId="0" fontId="0" fillId="12" borderId="0" xfId="0" applyFont="1" applyFill="1" applyBorder="1" applyAlignment="1" applyProtection="1">
      <alignment horizontal="center" vertical="top" wrapText="1"/>
    </xf>
    <xf numFmtId="49" fontId="0" fillId="8" borderId="2" xfId="0" applyNumberFormat="1" applyFont="1" applyFill="1" applyBorder="1" applyAlignment="1">
      <alignment vertical="top" wrapText="1"/>
    </xf>
    <xf numFmtId="0" fontId="0" fillId="11" borderId="0" xfId="0" applyFill="1" applyBorder="1" applyAlignment="1">
      <alignment horizontal="left" vertical="top" wrapText="1"/>
    </xf>
    <xf numFmtId="0" fontId="17" fillId="11" borderId="0" xfId="0" applyFont="1" applyFill="1" applyBorder="1" applyAlignment="1">
      <alignment vertical="top"/>
    </xf>
    <xf numFmtId="0" fontId="0" fillId="11" borderId="41" xfId="0" applyFill="1" applyBorder="1" applyAlignment="1">
      <alignment horizontal="left" vertical="top" wrapText="1"/>
    </xf>
    <xf numFmtId="0" fontId="0" fillId="11" borderId="42" xfId="0" applyFill="1" applyBorder="1" applyAlignment="1">
      <alignment vertical="top"/>
    </xf>
    <xf numFmtId="0" fontId="0" fillId="11" borderId="0" xfId="0" applyFont="1" applyFill="1" applyBorder="1" applyAlignment="1">
      <alignment vertical="top"/>
    </xf>
    <xf numFmtId="0" fontId="0" fillId="11" borderId="0" xfId="0" applyFont="1" applyFill="1" applyBorder="1" applyAlignment="1">
      <alignment vertical="top" wrapText="1"/>
    </xf>
    <xf numFmtId="0" fontId="17" fillId="11" borderId="0" xfId="0" applyFont="1" applyFill="1" applyBorder="1" applyAlignment="1">
      <alignment vertical="top" wrapText="1"/>
    </xf>
    <xf numFmtId="165" fontId="17" fillId="11" borderId="28" xfId="0" applyNumberFormat="1" applyFont="1" applyFill="1" applyBorder="1" applyAlignment="1">
      <alignment vertical="top"/>
    </xf>
    <xf numFmtId="165" fontId="0" fillId="11" borderId="28" xfId="0" applyNumberFormat="1" applyFont="1" applyFill="1" applyBorder="1" applyAlignment="1">
      <alignment vertical="top"/>
    </xf>
    <xf numFmtId="165" fontId="52" fillId="11" borderId="28" xfId="0" applyNumberFormat="1" applyFont="1" applyFill="1" applyBorder="1" applyAlignment="1">
      <alignment vertical="top"/>
    </xf>
    <xf numFmtId="165" fontId="52" fillId="11" borderId="28" xfId="0" applyNumberFormat="1" applyFont="1" applyFill="1" applyBorder="1" applyAlignment="1">
      <alignment horizontal="right" vertical="top"/>
    </xf>
    <xf numFmtId="0" fontId="5" fillId="0" borderId="22" xfId="0" applyFont="1" applyFill="1" applyBorder="1" applyAlignment="1">
      <alignment vertical="center" wrapText="1"/>
    </xf>
    <xf numFmtId="0" fontId="0" fillId="0" borderId="15" xfId="0" applyFont="1" applyFill="1" applyBorder="1" applyAlignment="1">
      <alignment vertical="center" wrapText="1"/>
    </xf>
    <xf numFmtId="0" fontId="42" fillId="0" borderId="15" xfId="1" applyFont="1" applyFill="1" applyBorder="1" applyAlignment="1" applyProtection="1">
      <alignment vertical="top" wrapText="1"/>
    </xf>
    <xf numFmtId="14" fontId="0" fillId="0" borderId="21" xfId="0" applyNumberFormat="1" applyFont="1" applyFill="1" applyBorder="1" applyAlignment="1">
      <alignment vertical="top" wrapText="1"/>
    </xf>
    <xf numFmtId="0" fontId="35" fillId="11" borderId="0" xfId="0" applyFont="1" applyFill="1" applyBorder="1" applyAlignment="1">
      <alignment horizontal="left"/>
    </xf>
    <xf numFmtId="0" fontId="35" fillId="11" borderId="0" xfId="0" applyFont="1" applyFill="1" applyBorder="1" applyAlignment="1">
      <alignment vertical="top"/>
    </xf>
    <xf numFmtId="0" fontId="56" fillId="23" borderId="0" xfId="0" applyFont="1" applyFill="1" applyBorder="1" applyAlignment="1"/>
    <xf numFmtId="0" fontId="47" fillId="23" borderId="0" xfId="0" applyFont="1" applyFill="1" applyBorder="1" applyAlignment="1">
      <alignment vertical="top"/>
    </xf>
    <xf numFmtId="0" fontId="47" fillId="23" borderId="0" xfId="0" applyFont="1" applyFill="1" applyBorder="1" applyAlignment="1">
      <alignment vertical="top" wrapText="1"/>
    </xf>
    <xf numFmtId="0" fontId="47" fillId="23" borderId="28" xfId="0" applyFont="1" applyFill="1" applyBorder="1" applyAlignment="1">
      <alignment vertical="top"/>
    </xf>
    <xf numFmtId="0" fontId="47" fillId="23" borderId="0" xfId="0" applyFont="1" applyFill="1" applyBorder="1" applyAlignment="1"/>
    <xf numFmtId="0" fontId="2" fillId="15" borderId="0" xfId="0" applyFont="1" applyFill="1" applyBorder="1" applyAlignment="1">
      <alignment vertical="top"/>
    </xf>
    <xf numFmtId="0" fontId="0" fillId="15" borderId="0" xfId="0" applyFill="1" applyBorder="1" applyAlignment="1">
      <alignment vertical="top" wrapText="1"/>
    </xf>
    <xf numFmtId="0" fontId="5" fillId="11" borderId="0" xfId="0" applyFont="1" applyFill="1" applyBorder="1" applyAlignment="1">
      <alignment horizontal="left" vertical="top" wrapText="1"/>
    </xf>
    <xf numFmtId="0" fontId="26" fillId="16" borderId="45" xfId="0" applyFont="1" applyFill="1" applyBorder="1" applyAlignment="1">
      <alignment horizontal="center" vertical="top" wrapText="1"/>
    </xf>
    <xf numFmtId="0" fontId="61" fillId="3" borderId="45" xfId="1" applyFont="1" applyFill="1" applyBorder="1" applyAlignment="1" applyProtection="1">
      <alignment horizontal="center" vertical="top" wrapText="1"/>
    </xf>
    <xf numFmtId="0" fontId="61" fillId="20" borderId="45" xfId="1" applyFont="1" applyFill="1" applyBorder="1" applyAlignment="1" applyProtection="1">
      <alignment horizontal="center" vertical="top" wrapText="1"/>
    </xf>
    <xf numFmtId="0" fontId="40" fillId="16" borderId="44" xfId="0" applyFont="1" applyFill="1" applyBorder="1" applyAlignment="1">
      <alignment horizontal="center" vertical="top" wrapText="1"/>
    </xf>
    <xf numFmtId="0" fontId="62" fillId="17" borderId="44" xfId="1" applyFont="1" applyFill="1" applyBorder="1" applyAlignment="1" applyProtection="1">
      <alignment horizontal="center" vertical="top" wrapText="1"/>
    </xf>
    <xf numFmtId="0" fontId="62" fillId="18" borderId="44" xfId="1" applyFont="1" applyFill="1" applyBorder="1" applyAlignment="1" applyProtection="1">
      <alignment horizontal="center" vertical="top" wrapText="1"/>
    </xf>
    <xf numFmtId="0" fontId="62" fillId="3" borderId="44" xfId="1" applyFont="1" applyFill="1" applyBorder="1" applyAlignment="1" applyProtection="1">
      <alignment horizontal="center" vertical="top" wrapText="1"/>
    </xf>
    <xf numFmtId="0" fontId="62" fillId="19" borderId="44" xfId="1" applyFont="1" applyFill="1" applyBorder="1" applyAlignment="1" applyProtection="1">
      <alignment horizontal="center" vertical="top" wrapText="1"/>
    </xf>
    <xf numFmtId="0" fontId="62" fillId="20" borderId="44" xfId="1" applyFont="1" applyFill="1" applyBorder="1" applyAlignment="1" applyProtection="1">
      <alignment horizontal="center" vertical="top" wrapText="1"/>
    </xf>
    <xf numFmtId="0" fontId="63" fillId="17" borderId="45" xfId="1" applyFont="1" applyFill="1" applyBorder="1" applyAlignment="1" applyProtection="1">
      <alignment horizontal="center" vertical="top" wrapText="1"/>
    </xf>
    <xf numFmtId="0" fontId="63" fillId="18" borderId="45" xfId="1" applyFont="1" applyFill="1" applyBorder="1" applyAlignment="1" applyProtection="1">
      <alignment horizontal="center" vertical="top" wrapText="1"/>
    </xf>
    <xf numFmtId="0" fontId="63" fillId="19" borderId="45" xfId="1" applyFont="1" applyFill="1" applyBorder="1" applyAlignment="1" applyProtection="1">
      <alignment horizontal="center" vertical="top" wrapText="1"/>
    </xf>
    <xf numFmtId="0" fontId="7" fillId="21" borderId="22" xfId="0" applyFont="1" applyFill="1" applyBorder="1" applyAlignment="1" applyProtection="1">
      <alignment horizontal="left" wrapText="1"/>
    </xf>
    <xf numFmtId="0" fontId="0" fillId="0" borderId="14" xfId="0" applyFont="1" applyFill="1" applyBorder="1" applyAlignment="1">
      <alignment horizontal="left" vertical="top" wrapText="1"/>
    </xf>
    <xf numFmtId="0" fontId="0" fillId="0" borderId="26" xfId="0" applyFont="1" applyFill="1" applyBorder="1" applyAlignment="1">
      <alignment horizontal="left" vertical="top" wrapText="1"/>
    </xf>
    <xf numFmtId="0" fontId="1" fillId="2" borderId="0" xfId="1" applyFill="1" applyAlignment="1" applyProtection="1">
      <alignment wrapText="1"/>
    </xf>
    <xf numFmtId="164" fontId="13" fillId="0" borderId="0" xfId="0" applyNumberFormat="1" applyFont="1" applyAlignment="1">
      <alignment horizontal="left" wrapText="1"/>
    </xf>
    <xf numFmtId="0" fontId="1" fillId="0" borderId="39" xfId="1" applyFill="1" applyBorder="1" applyAlignment="1" applyProtection="1">
      <alignment vertical="top" wrapText="1"/>
    </xf>
    <xf numFmtId="0" fontId="1" fillId="0" borderId="16" xfId="1" applyFill="1" applyBorder="1" applyAlignment="1" applyProtection="1">
      <alignment vertical="top" wrapText="1"/>
    </xf>
    <xf numFmtId="49" fontId="12" fillId="2" borderId="46" xfId="0" applyNumberFormat="1" applyFont="1" applyFill="1" applyBorder="1" applyAlignment="1">
      <alignment horizontal="center" vertical="top" wrapText="1"/>
    </xf>
    <xf numFmtId="2" fontId="12" fillId="2" borderId="46" xfId="0" applyNumberFormat="1" applyFont="1" applyFill="1" applyBorder="1" applyAlignment="1">
      <alignment horizontal="center" vertical="top" wrapText="1"/>
    </xf>
    <xf numFmtId="0" fontId="12" fillId="2" borderId="46" xfId="0" applyFont="1" applyFill="1" applyBorder="1" applyAlignment="1">
      <alignment horizontal="center" vertical="top" wrapText="1"/>
    </xf>
    <xf numFmtId="2" fontId="2" fillId="2" borderId="46" xfId="0" applyNumberFormat="1" applyFont="1" applyFill="1" applyBorder="1" applyAlignment="1">
      <alignment horizontal="center" vertical="top" wrapText="1"/>
    </xf>
    <xf numFmtId="0" fontId="2" fillId="2" borderId="46" xfId="0" applyFont="1" applyFill="1" applyBorder="1" applyAlignment="1">
      <alignment horizontal="center" vertical="top" wrapText="1"/>
    </xf>
    <xf numFmtId="14" fontId="12" fillId="2" borderId="46" xfId="0" applyNumberFormat="1" applyFont="1" applyFill="1" applyBorder="1" applyAlignment="1">
      <alignment horizontal="center" vertical="top" wrapText="1"/>
    </xf>
    <xf numFmtId="49" fontId="0" fillId="0" borderId="0" xfId="0" applyNumberFormat="1" applyFont="1" applyBorder="1" applyAlignment="1" applyProtection="1">
      <alignment vertical="top" wrapText="1"/>
      <protection locked="0"/>
    </xf>
    <xf numFmtId="2" fontId="17" fillId="0" borderId="0" xfId="0" applyNumberFormat="1" applyFont="1" applyBorder="1" applyAlignment="1" applyProtection="1">
      <alignment vertical="top" wrapText="1"/>
      <protection locked="0"/>
    </xf>
    <xf numFmtId="14" fontId="0" fillId="0" borderId="0" xfId="0" applyNumberFormat="1" applyFont="1" applyBorder="1" applyAlignment="1" applyProtection="1">
      <alignment vertical="top" wrapText="1"/>
    </xf>
    <xf numFmtId="0" fontId="0" fillId="0" borderId="0" xfId="0" applyFont="1" applyBorder="1" applyAlignment="1" applyProtection="1">
      <alignment vertical="top" wrapText="1"/>
    </xf>
    <xf numFmtId="2" fontId="0" fillId="0" borderId="0" xfId="0" applyNumberFormat="1" applyFont="1" applyBorder="1" applyAlignment="1" applyProtection="1">
      <alignment vertical="top" wrapText="1"/>
      <protection locked="0"/>
    </xf>
    <xf numFmtId="0" fontId="5" fillId="0" borderId="21" xfId="0" applyFont="1" applyFill="1" applyBorder="1" applyAlignment="1">
      <alignment vertical="top" wrapText="1"/>
    </xf>
    <xf numFmtId="2" fontId="0" fillId="0" borderId="0" xfId="0" applyNumberFormat="1" applyFont="1" applyBorder="1" applyAlignment="1" applyProtection="1">
      <alignment horizontal="left" vertical="top" wrapText="1"/>
      <protection locked="0"/>
    </xf>
    <xf numFmtId="0" fontId="0" fillId="0" borderId="0" xfId="0" applyBorder="1" applyAlignment="1">
      <alignment horizontal="left" vertical="top" wrapText="1"/>
    </xf>
    <xf numFmtId="0" fontId="0" fillId="0" borderId="16" xfId="0" applyFont="1" applyFill="1" applyBorder="1" applyAlignment="1" applyProtection="1">
      <alignment horizontal="left" vertical="center" wrapText="1"/>
      <protection locked="0"/>
    </xf>
    <xf numFmtId="0" fontId="2" fillId="11" borderId="43" xfId="0" applyFont="1" applyFill="1" applyBorder="1" applyAlignment="1">
      <alignment horizontal="left" vertical="top" wrapText="1"/>
    </xf>
    <xf numFmtId="0" fontId="2" fillId="11" borderId="0" xfId="0" applyFont="1" applyFill="1" applyBorder="1" applyAlignment="1">
      <alignment horizontal="left" vertical="top" wrapText="1"/>
    </xf>
    <xf numFmtId="0" fontId="68" fillId="11" borderId="43" xfId="0" applyFont="1" applyFill="1" applyBorder="1" applyAlignment="1">
      <alignment horizontal="left" vertical="top" wrapText="1"/>
    </xf>
    <xf numFmtId="0" fontId="68" fillId="11" borderId="0" xfId="0" applyFont="1" applyFill="1" applyBorder="1" applyAlignment="1">
      <alignment horizontal="left" vertical="top" wrapText="1"/>
    </xf>
    <xf numFmtId="0" fontId="17" fillId="11" borderId="43" xfId="0" applyFont="1" applyFill="1" applyBorder="1" applyAlignment="1">
      <alignment horizontal="left" vertical="top" wrapText="1"/>
    </xf>
    <xf numFmtId="0" fontId="17" fillId="11" borderId="0" xfId="0" applyFont="1" applyFill="1" applyBorder="1" applyAlignment="1">
      <alignment horizontal="left" vertical="top" wrapText="1"/>
    </xf>
    <xf numFmtId="0" fontId="5" fillId="11" borderId="0" xfId="0" applyFont="1" applyFill="1" applyBorder="1" applyAlignment="1">
      <alignment horizontal="left" vertical="top" wrapText="1"/>
    </xf>
    <xf numFmtId="0" fontId="1" fillId="11" borderId="0" xfId="1" applyFill="1" applyBorder="1" applyAlignment="1" applyProtection="1">
      <alignment horizontal="left" vertical="top" indent="2"/>
    </xf>
    <xf numFmtId="0" fontId="35" fillId="9" borderId="0" xfId="0" applyFont="1" applyFill="1" applyBorder="1" applyAlignment="1">
      <alignment horizontal="left" vertical="top"/>
    </xf>
    <xf numFmtId="0" fontId="58" fillId="23" borderId="0" xfId="0" applyFont="1" applyFill="1" applyBorder="1" applyAlignment="1">
      <alignment horizontal="left" vertical="top"/>
    </xf>
    <xf numFmtId="0" fontId="59" fillId="15" borderId="0" xfId="0" applyFont="1" applyFill="1" applyBorder="1" applyAlignment="1">
      <alignment horizontal="left" vertical="top"/>
    </xf>
    <xf numFmtId="0" fontId="0" fillId="11" borderId="0" xfId="0" applyFont="1" applyFill="1" applyBorder="1" applyAlignment="1">
      <alignment horizontal="left" vertical="top" wrapText="1"/>
    </xf>
    <xf numFmtId="0" fontId="42" fillId="15" borderId="0" xfId="1" applyFont="1" applyFill="1" applyBorder="1" applyAlignment="1" applyProtection="1">
      <alignment horizontal="left" vertical="top"/>
    </xf>
    <xf numFmtId="0" fontId="0" fillId="11" borderId="0" xfId="0" applyFill="1" applyBorder="1" applyAlignment="1">
      <alignment horizontal="left" vertical="top" wrapText="1"/>
    </xf>
    <xf numFmtId="0" fontId="0" fillId="15" borderId="0" xfId="0" applyFont="1" applyFill="1" applyAlignment="1">
      <alignment vertical="top"/>
    </xf>
    <xf numFmtId="0" fontId="34" fillId="11" borderId="0" xfId="0" applyFont="1" applyFill="1" applyBorder="1" applyAlignment="1">
      <alignment horizontal="left" vertical="top"/>
    </xf>
    <xf numFmtId="0" fontId="0" fillId="15" borderId="0" xfId="0" applyFill="1"/>
    <xf numFmtId="0" fontId="0" fillId="11" borderId="0" xfId="0" applyFill="1" applyBorder="1" applyAlignment="1">
      <alignment horizontal="left" vertical="top"/>
    </xf>
    <xf numFmtId="0" fontId="35" fillId="9" borderId="0" xfId="0" applyFont="1" applyFill="1" applyBorder="1" applyAlignment="1">
      <alignment horizontal="left" vertical="center"/>
    </xf>
    <xf numFmtId="0" fontId="1" fillId="0" borderId="0" xfId="1" applyAlignment="1" applyProtection="1">
      <alignment horizontal="left" indent="2"/>
    </xf>
    <xf numFmtId="0" fontId="48" fillId="11" borderId="0" xfId="0" applyFont="1" applyFill="1" applyBorder="1" applyAlignment="1">
      <alignment horizontal="left" vertical="top" wrapText="1" indent="2"/>
    </xf>
    <xf numFmtId="0" fontId="35" fillId="9" borderId="0" xfId="0" applyFont="1" applyFill="1" applyBorder="1" applyAlignment="1">
      <alignment horizontal="left"/>
    </xf>
    <xf numFmtId="0" fontId="5" fillId="11" borderId="0" xfId="0" applyFont="1" applyFill="1" applyBorder="1" applyAlignment="1">
      <alignment horizontal="left" vertical="top" wrapText="1" indent="2"/>
    </xf>
    <xf numFmtId="0" fontId="37" fillId="11" borderId="0" xfId="0" applyFont="1" applyFill="1" applyBorder="1" applyAlignment="1">
      <alignment horizontal="left" vertical="top" wrapText="1" indent="4"/>
    </xf>
    <xf numFmtId="0" fontId="1" fillId="11" borderId="0" xfId="1" applyFill="1" applyBorder="1" applyAlignment="1" applyProtection="1">
      <alignment horizontal="left" vertical="top" wrapText="1" indent="7"/>
    </xf>
    <xf numFmtId="0" fontId="27" fillId="0" borderId="2" xfId="0" applyFont="1" applyFill="1" applyBorder="1" applyAlignment="1" applyProtection="1">
      <alignment horizontal="center" vertical="center" wrapText="1"/>
    </xf>
    <xf numFmtId="0" fontId="27" fillId="0" borderId="3" xfId="0" applyFont="1" applyFill="1" applyBorder="1" applyAlignment="1" applyProtection="1">
      <alignment horizontal="center" vertical="center" wrapText="1"/>
    </xf>
    <xf numFmtId="0" fontId="25" fillId="18" borderId="2" xfId="0" applyFont="1" applyFill="1" applyBorder="1" applyAlignment="1" applyProtection="1">
      <alignment horizontal="center" wrapText="1"/>
    </xf>
    <xf numFmtId="0" fontId="25" fillId="18" borderId="3" xfId="0" applyFont="1" applyFill="1" applyBorder="1" applyAlignment="1" applyProtection="1">
      <alignment horizontal="center" wrapText="1"/>
    </xf>
    <xf numFmtId="0" fontId="7" fillId="8" borderId="2" xfId="0" applyFont="1" applyFill="1" applyBorder="1" applyAlignment="1" applyProtection="1">
      <alignment horizontal="center"/>
    </xf>
    <xf numFmtId="0" fontId="7" fillId="8" borderId="3" xfId="0" applyFont="1" applyFill="1" applyBorder="1" applyAlignment="1" applyProtection="1">
      <alignment horizontal="center"/>
    </xf>
    <xf numFmtId="0" fontId="23" fillId="22" borderId="10" xfId="1" applyFont="1" applyFill="1" applyBorder="1" applyAlignment="1" applyProtection="1">
      <alignment horizontal="center" vertical="center" wrapText="1"/>
    </xf>
    <xf numFmtId="0" fontId="23" fillId="22" borderId="0" xfId="1" applyFont="1" applyFill="1" applyAlignment="1" applyProtection="1">
      <alignment horizontal="center" vertical="center" wrapText="1"/>
    </xf>
    <xf numFmtId="0" fontId="2" fillId="22" borderId="10" xfId="1" applyFont="1" applyFill="1" applyBorder="1" applyAlignment="1" applyProtection="1">
      <alignment horizontal="center" vertical="center"/>
    </xf>
    <xf numFmtId="0" fontId="2" fillId="22" borderId="0" xfId="1" applyFont="1" applyFill="1" applyBorder="1" applyAlignment="1" applyProtection="1">
      <alignment horizontal="center" vertical="center"/>
    </xf>
    <xf numFmtId="0" fontId="6" fillId="22" borderId="10" xfId="1" applyFont="1" applyFill="1" applyBorder="1" applyAlignment="1" applyProtection="1">
      <alignment horizontal="center" vertical="center"/>
    </xf>
    <xf numFmtId="0" fontId="6" fillId="22" borderId="0" xfId="1" applyFont="1" applyFill="1" applyBorder="1" applyAlignment="1" applyProtection="1">
      <alignment horizontal="center" vertical="center"/>
    </xf>
    <xf numFmtId="0" fontId="29" fillId="22" borderId="10" xfId="0" applyFont="1" applyFill="1" applyBorder="1" applyAlignment="1" applyProtection="1">
      <alignment vertical="center" wrapText="1"/>
    </xf>
    <xf numFmtId="0" fontId="29" fillId="22" borderId="0" xfId="0" applyFont="1" applyFill="1" applyAlignment="1" applyProtection="1">
      <alignment vertical="center" wrapText="1"/>
    </xf>
    <xf numFmtId="0" fontId="54" fillId="22" borderId="10" xfId="0" applyFont="1" applyFill="1" applyBorder="1" applyAlignment="1" applyProtection="1">
      <alignment horizontal="right" vertical="center" wrapText="1"/>
    </xf>
    <xf numFmtId="0" fontId="54" fillId="22" borderId="0" xfId="0" applyFont="1" applyFill="1" applyAlignment="1" applyProtection="1">
      <alignment horizontal="right" vertical="center" wrapText="1"/>
    </xf>
    <xf numFmtId="0" fontId="24" fillId="5" borderId="10" xfId="0" applyFont="1" applyFill="1" applyBorder="1" applyAlignment="1" applyProtection="1">
      <alignment horizontal="left" vertical="top" wrapText="1"/>
    </xf>
    <xf numFmtId="0" fontId="24" fillId="5" borderId="0" xfId="0" applyFont="1" applyFill="1" applyBorder="1" applyAlignment="1" applyProtection="1">
      <alignment horizontal="left" vertical="top" wrapText="1"/>
    </xf>
    <xf numFmtId="0" fontId="30" fillId="22" borderId="10" xfId="0" applyFont="1" applyFill="1" applyBorder="1" applyAlignment="1" applyProtection="1">
      <alignment horizontal="right" vertical="center" wrapText="1"/>
    </xf>
    <xf numFmtId="0" fontId="30" fillId="22" borderId="0" xfId="0" applyFont="1" applyFill="1" applyAlignment="1" applyProtection="1">
      <alignment horizontal="right" vertical="center" wrapText="1"/>
    </xf>
    <xf numFmtId="2" fontId="25" fillId="12" borderId="2" xfId="0" applyNumberFormat="1" applyFont="1" applyFill="1" applyBorder="1" applyAlignment="1">
      <alignment horizontal="center" vertical="center" wrapText="1"/>
    </xf>
    <xf numFmtId="2" fontId="25" fillId="12" borderId="5" xfId="0" applyNumberFormat="1" applyFont="1" applyFill="1" applyBorder="1" applyAlignment="1">
      <alignment horizontal="center" vertical="center" wrapText="1"/>
    </xf>
    <xf numFmtId="0" fontId="0" fillId="3" borderId="12" xfId="0"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4" borderId="0" xfId="0" applyFill="1" applyBorder="1" applyAlignment="1">
      <alignment horizontal="right" vertical="top" wrapText="1"/>
    </xf>
    <xf numFmtId="0" fontId="9" fillId="3" borderId="10" xfId="0" applyFont="1" applyFill="1" applyBorder="1" applyAlignment="1">
      <alignment horizontal="left" vertical="center" wrapText="1"/>
    </xf>
    <xf numFmtId="0" fontId="10" fillId="3" borderId="0" xfId="0" applyFont="1" applyFill="1" applyBorder="1" applyAlignment="1">
      <alignment horizontal="left" vertical="center" wrapText="1"/>
    </xf>
    <xf numFmtId="0" fontId="10" fillId="3" borderId="11" xfId="0" applyFont="1" applyFill="1" applyBorder="1" applyAlignment="1">
      <alignment horizontal="left" vertical="center" wrapText="1"/>
    </xf>
    <xf numFmtId="0" fontId="0" fillId="4" borderId="10" xfId="0" applyFill="1" applyBorder="1" applyAlignment="1">
      <alignment horizontal="left" vertical="top" wrapText="1"/>
    </xf>
    <xf numFmtId="0" fontId="0" fillId="4" borderId="0" xfId="0" applyFill="1" applyBorder="1" applyAlignment="1">
      <alignment horizontal="left" vertical="top" wrapText="1"/>
    </xf>
    <xf numFmtId="0" fontId="0" fillId="4" borderId="11" xfId="0" applyFill="1" applyBorder="1" applyAlignment="1">
      <alignment horizontal="left" vertical="top" wrapText="1"/>
    </xf>
    <xf numFmtId="0" fontId="0" fillId="3" borderId="0" xfId="0" applyFill="1" applyBorder="1" applyAlignment="1">
      <alignment horizontal="left" vertical="top" wrapText="1"/>
    </xf>
    <xf numFmtId="0" fontId="0" fillId="3" borderId="11" xfId="0" applyFill="1" applyBorder="1" applyAlignment="1">
      <alignment horizontal="left" vertical="top" wrapText="1"/>
    </xf>
    <xf numFmtId="0" fontId="7" fillId="3" borderId="8" xfId="0" applyFont="1" applyFill="1" applyBorder="1" applyAlignment="1">
      <alignment horizontal="left" vertical="center" wrapText="1"/>
    </xf>
    <xf numFmtId="0" fontId="7" fillId="3" borderId="7" xfId="0" applyFont="1" applyFill="1" applyBorder="1" applyAlignment="1">
      <alignment horizontal="left" vertical="center" wrapText="1"/>
    </xf>
    <xf numFmtId="0" fontId="7" fillId="3" borderId="9" xfId="0" applyFont="1" applyFill="1" applyBorder="1" applyAlignment="1">
      <alignment horizontal="left" vertical="center" wrapText="1"/>
    </xf>
    <xf numFmtId="0" fontId="43" fillId="7" borderId="17" xfId="0" applyNumberFormat="1" applyFont="1" applyFill="1" applyBorder="1" applyAlignment="1">
      <alignment vertical="top" wrapText="1"/>
    </xf>
    <xf numFmtId="49" fontId="7" fillId="6" borderId="27" xfId="0" applyNumberFormat="1" applyFont="1" applyFill="1" applyBorder="1" applyAlignment="1" applyProtection="1">
      <alignment horizontal="center" vertical="center" wrapText="1"/>
    </xf>
    <xf numFmtId="49" fontId="45" fillId="6" borderId="34" xfId="0" applyNumberFormat="1" applyFont="1" applyFill="1" applyBorder="1" applyAlignment="1" applyProtection="1">
      <alignment horizontal="center" vertical="center" wrapText="1"/>
    </xf>
    <xf numFmtId="49" fontId="45" fillId="6" borderId="35" xfId="0" applyNumberFormat="1" applyFont="1" applyFill="1" applyBorder="1" applyAlignment="1" applyProtection="1">
      <alignment horizontal="center" vertical="center" wrapText="1"/>
    </xf>
    <xf numFmtId="0" fontId="36" fillId="8" borderId="2" xfId="0" applyFont="1" applyFill="1" applyBorder="1" applyAlignment="1">
      <alignment horizontal="left" vertical="top" wrapText="1"/>
    </xf>
    <xf numFmtId="0" fontId="36" fillId="8" borderId="5" xfId="0" applyFont="1" applyFill="1" applyBorder="1" applyAlignment="1">
      <alignment horizontal="left" vertical="top" wrapText="1"/>
    </xf>
  </cellXfs>
  <cellStyles count="3">
    <cellStyle name="Hyperlink" xfId="1" builtinId="8"/>
    <cellStyle name="Normal" xfId="0" builtinId="0"/>
    <cellStyle name="Normal 2" xfId="2"/>
  </cellStyles>
  <dxfs count="2">
    <dxf>
      <fill>
        <patternFill>
          <bgColor theme="4" tint="0.79998168889431442"/>
        </patternFill>
      </fill>
    </dxf>
    <dxf>
      <fill>
        <patternFill>
          <bgColor theme="4" tint="0.79998168889431442"/>
        </patternFill>
      </fill>
    </dxf>
  </dxfs>
  <tableStyles count="0" defaultTableStyle="TableStyleMedium9" defaultPivotStyle="PivotStyleLight16"/>
  <colors>
    <mruColors>
      <color rgb="FF7ABC32"/>
      <color rgb="FF6DFFFF"/>
      <color rgb="FFCCFFFF"/>
      <color rgb="FFFAF398"/>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9525</xdr:colOff>
          <xdr:row>2</xdr:row>
          <xdr:rowOff>47625</xdr:rowOff>
        </xdr:from>
        <xdr:to>
          <xdr:col>19</xdr:col>
          <xdr:colOff>342900</xdr:colOff>
          <xdr:row>3</xdr:row>
          <xdr:rowOff>123825</xdr:rowOff>
        </xdr:to>
        <xdr:sp macro="" textlink="">
          <xdr:nvSpPr>
            <xdr:cNvPr id="47116" name="Button 12" hidden="1">
              <a:extLst>
                <a:ext uri="{63B3BB69-23CF-44E3-9099-C40C66FF867C}">
                  <a14:compatExt spid="_x0000_s471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Contact Us for Support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3</xdr:row>
          <xdr:rowOff>9525</xdr:rowOff>
        </xdr:from>
        <xdr:to>
          <xdr:col>2</xdr:col>
          <xdr:colOff>2857500</xdr:colOff>
          <xdr:row>5</xdr:row>
          <xdr:rowOff>0</xdr:rowOff>
        </xdr:to>
        <xdr:sp macro="" textlink="">
          <xdr:nvSpPr>
            <xdr:cNvPr id="40970" name="Button 10" descr="Create JIRA Imports" hidden="1">
              <a:extLst>
                <a:ext uri="{63B3BB69-23CF-44E3-9099-C40C66FF867C}">
                  <a14:compatExt spid="_x0000_s4097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rPr>
                <a:t>Create JIRA Imports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8</xdr:row>
          <xdr:rowOff>0</xdr:rowOff>
        </xdr:from>
        <xdr:to>
          <xdr:col>2</xdr:col>
          <xdr:colOff>2857500</xdr:colOff>
          <xdr:row>9</xdr:row>
          <xdr:rowOff>190500</xdr:rowOff>
        </xdr:to>
        <xdr:sp macro="" textlink="">
          <xdr:nvSpPr>
            <xdr:cNvPr id="40971" name="Button 11" hidden="1">
              <a:extLst>
                <a:ext uri="{63B3BB69-23CF-44E3-9099-C40C66FF867C}">
                  <a14:compatExt spid="_x0000_s4097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rPr>
                <a:t>Convert BRD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5</xdr:row>
          <xdr:rowOff>9525</xdr:rowOff>
        </xdr:from>
        <xdr:to>
          <xdr:col>2</xdr:col>
          <xdr:colOff>2857500</xdr:colOff>
          <xdr:row>6</xdr:row>
          <xdr:rowOff>0</xdr:rowOff>
        </xdr:to>
        <xdr:sp macro="" textlink="">
          <xdr:nvSpPr>
            <xdr:cNvPr id="40985" name="Button 25" descr="Link JIRA EPICs to JIRA Capabilities" hidden="1">
              <a:extLst>
                <a:ext uri="{63B3BB69-23CF-44E3-9099-C40C66FF867C}">
                  <a14:compatExt spid="_x0000_s409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Link JIRA EPICs to JIRA Capabilities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9525</xdr:rowOff>
        </xdr:from>
        <xdr:to>
          <xdr:col>2</xdr:col>
          <xdr:colOff>2857500</xdr:colOff>
          <xdr:row>7</xdr:row>
          <xdr:rowOff>0</xdr:rowOff>
        </xdr:to>
        <xdr:sp macro="" textlink="">
          <xdr:nvSpPr>
            <xdr:cNvPr id="40986" name="Button 26" descr="Link JIRA Stories to JIRA EPICS" hidden="1">
              <a:extLst>
                <a:ext uri="{63B3BB69-23CF-44E3-9099-C40C66FF867C}">
                  <a14:compatExt spid="_x0000_s409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Link JIRA Stories to JIRA EPICs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2886075</xdr:colOff>
          <xdr:row>3</xdr:row>
          <xdr:rowOff>9525</xdr:rowOff>
        </xdr:from>
        <xdr:to>
          <xdr:col>3</xdr:col>
          <xdr:colOff>952500</xdr:colOff>
          <xdr:row>4</xdr:row>
          <xdr:rowOff>0</xdr:rowOff>
        </xdr:to>
        <xdr:sp macro="" textlink="">
          <xdr:nvSpPr>
            <xdr:cNvPr id="40987" name="Button 27" hidden="1">
              <a:extLst>
                <a:ext uri="{63B3BB69-23CF-44E3-9099-C40C66FF867C}">
                  <a14:compatExt spid="_x0000_s409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'JIRA GADCR' to Create CSV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2886075</xdr:colOff>
          <xdr:row>4</xdr:row>
          <xdr:rowOff>9525</xdr:rowOff>
        </xdr:from>
        <xdr:to>
          <xdr:col>3</xdr:col>
          <xdr:colOff>952500</xdr:colOff>
          <xdr:row>5</xdr:row>
          <xdr:rowOff>0</xdr:rowOff>
        </xdr:to>
        <xdr:sp macro="" textlink="">
          <xdr:nvSpPr>
            <xdr:cNvPr id="40988" name="Button 28" hidden="1">
              <a:extLst>
                <a:ext uri="{63B3BB69-23CF-44E3-9099-C40C66FF867C}">
                  <a14:compatExt spid="_x0000_s409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'JIRA CAP' to Create CSV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2886075</xdr:colOff>
          <xdr:row>5</xdr:row>
          <xdr:rowOff>9525</xdr:rowOff>
        </xdr:from>
        <xdr:to>
          <xdr:col>3</xdr:col>
          <xdr:colOff>952500</xdr:colOff>
          <xdr:row>6</xdr:row>
          <xdr:rowOff>0</xdr:rowOff>
        </xdr:to>
        <xdr:sp macro="" textlink="">
          <xdr:nvSpPr>
            <xdr:cNvPr id="40989" name="Button 29" hidden="1">
              <a:extLst>
                <a:ext uri="{63B3BB69-23CF-44E3-9099-C40C66FF867C}">
                  <a14:compatExt spid="_x0000_s409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'JIRA EPICS' to Create CSV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2886075</xdr:colOff>
          <xdr:row>6</xdr:row>
          <xdr:rowOff>9525</xdr:rowOff>
        </xdr:from>
        <xdr:to>
          <xdr:col>3</xdr:col>
          <xdr:colOff>952500</xdr:colOff>
          <xdr:row>7</xdr:row>
          <xdr:rowOff>0</xdr:rowOff>
        </xdr:to>
        <xdr:sp macro="" textlink="">
          <xdr:nvSpPr>
            <xdr:cNvPr id="40990" name="Button 30" hidden="1">
              <a:extLst>
                <a:ext uri="{63B3BB69-23CF-44E3-9099-C40C66FF867C}">
                  <a14:compatExt spid="_x0000_s409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'JIRA Story' to Create CSV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0</xdr:col>
          <xdr:colOff>1200150</xdr:colOff>
          <xdr:row>0</xdr:row>
          <xdr:rowOff>200025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0</xdr:row>
          <xdr:rowOff>0</xdr:rowOff>
        </xdr:from>
        <xdr:to>
          <xdr:col>0</xdr:col>
          <xdr:colOff>2400300</xdr:colOff>
          <xdr:row>0</xdr:row>
          <xdr:rowOff>200025</xdr:rowOff>
        </xdr:to>
        <xdr:sp macro="" textlink="">
          <xdr:nvSpPr>
            <xdr:cNvPr id="6157" name="Button 13" descr="Add Assumption"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2409825</xdr:colOff>
          <xdr:row>0</xdr:row>
          <xdr:rowOff>0</xdr:rowOff>
        </xdr:from>
        <xdr:to>
          <xdr:col>0</xdr:col>
          <xdr:colOff>3600450</xdr:colOff>
          <xdr:row>0</xdr:row>
          <xdr:rowOff>200025</xdr:rowOff>
        </xdr:to>
        <xdr:sp macro="" textlink="">
          <xdr:nvSpPr>
            <xdr:cNvPr id="6159" name="Button 15" hidden="1">
              <a:extLst>
                <a:ext uri="{63B3BB69-23CF-44E3-9099-C40C66FF867C}">
                  <a14:compatExt spid="_x0000_s6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Dependency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3609975</xdr:colOff>
          <xdr:row>0</xdr:row>
          <xdr:rowOff>0</xdr:rowOff>
        </xdr:from>
        <xdr:to>
          <xdr:col>0</xdr:col>
          <xdr:colOff>4800600</xdr:colOff>
          <xdr:row>0</xdr:row>
          <xdr:rowOff>200025</xdr:rowOff>
        </xdr:to>
        <xdr:sp macro="" textlink="">
          <xdr:nvSpPr>
            <xdr:cNvPr id="6160" name="Button 16"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1362075</xdr:colOff>
          <xdr:row>0</xdr:row>
          <xdr:rowOff>0</xdr:rowOff>
        </xdr:from>
        <xdr:to>
          <xdr:col>3</xdr:col>
          <xdr:colOff>2552700</xdr:colOff>
          <xdr:row>0</xdr:row>
          <xdr:rowOff>200025</xdr:rowOff>
        </xdr:to>
        <xdr:sp macro="" textlink="">
          <xdr:nvSpPr>
            <xdr:cNvPr id="6171" name="Button 27" hidden="1">
              <a:extLst>
                <a:ext uri="{63B3BB69-23CF-44E3-9099-C40C66FF867C}">
                  <a14:compatExt spid="_x0000_s6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Move Row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2562225</xdr:colOff>
          <xdr:row>0</xdr:row>
          <xdr:rowOff>0</xdr:rowOff>
        </xdr:from>
        <xdr:to>
          <xdr:col>3</xdr:col>
          <xdr:colOff>3752850</xdr:colOff>
          <xdr:row>0</xdr:row>
          <xdr:rowOff>200025</xdr:rowOff>
        </xdr:to>
        <xdr:sp macro="" textlink="">
          <xdr:nvSpPr>
            <xdr:cNvPr id="6172" name="Button 28" hidden="1">
              <a:extLst>
                <a:ext uri="{63B3BB69-23CF-44E3-9099-C40C66FF867C}">
                  <a14:compatExt spid="_x0000_s6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Move Row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6010275</xdr:colOff>
          <xdr:row>0</xdr:row>
          <xdr:rowOff>0</xdr:rowOff>
        </xdr:from>
        <xdr:to>
          <xdr:col>1</xdr:col>
          <xdr:colOff>533400</xdr:colOff>
          <xdr:row>0</xdr:row>
          <xdr:rowOff>200025</xdr:rowOff>
        </xdr:to>
        <xdr:sp macro="" textlink="">
          <xdr:nvSpPr>
            <xdr:cNvPr id="6173" name="Button 29" descr="Add Term/Definition" hidden="1">
              <a:extLst>
                <a:ext uri="{63B3BB69-23CF-44E3-9099-C40C66FF867C}">
                  <a14:compatExt spid="_x0000_s6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Term/Definition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4810125</xdr:colOff>
          <xdr:row>0</xdr:row>
          <xdr:rowOff>0</xdr:rowOff>
        </xdr:from>
        <xdr:to>
          <xdr:col>0</xdr:col>
          <xdr:colOff>6000750</xdr:colOff>
          <xdr:row>0</xdr:row>
          <xdr:rowOff>200025</xdr:rowOff>
        </xdr:to>
        <xdr:sp macro="" textlink="">
          <xdr:nvSpPr>
            <xdr:cNvPr id="6174" name="Button 30" hidden="1">
              <a:extLst>
                <a:ext uri="{63B3BB69-23CF-44E3-9099-C40C66FF867C}">
                  <a14:compatExt spid="_x0000_s6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Risk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0</xdr:rowOff>
        </xdr:from>
        <xdr:to>
          <xdr:col>3</xdr:col>
          <xdr:colOff>1200150</xdr:colOff>
          <xdr:row>0</xdr:row>
          <xdr:rowOff>200025</xdr:rowOff>
        </xdr:to>
        <xdr:sp macro="" textlink="">
          <xdr:nvSpPr>
            <xdr:cNvPr id="6177" name="Button 33" descr="Remove Selected Row" hidden="1">
              <a:extLst>
                <a:ext uri="{63B3BB69-23CF-44E3-9099-C40C66FF867C}">
                  <a14:compatExt spid="_x0000_s6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Remove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542925</xdr:colOff>
          <xdr:row>0</xdr:row>
          <xdr:rowOff>0</xdr:rowOff>
        </xdr:from>
        <xdr:to>
          <xdr:col>2</xdr:col>
          <xdr:colOff>533400</xdr:colOff>
          <xdr:row>0</xdr:row>
          <xdr:rowOff>200025</xdr:rowOff>
        </xdr:to>
        <xdr:sp macro="" textlink="">
          <xdr:nvSpPr>
            <xdr:cNvPr id="6178" name="Button 34" hidden="1">
              <a:extLst>
                <a:ext uri="{63B3BB69-23CF-44E3-9099-C40C66FF867C}">
                  <a14:compatExt spid="_x0000_s6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Action Item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561975</xdr:colOff>
          <xdr:row>0</xdr:row>
          <xdr:rowOff>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Insert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0</xdr:row>
          <xdr:rowOff>0</xdr:rowOff>
        </xdr:from>
        <xdr:to>
          <xdr:col>2</xdr:col>
          <xdr:colOff>2009775</xdr:colOff>
          <xdr:row>0</xdr:row>
          <xdr:rowOff>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0</xdr:colOff>
          <xdr:row>0</xdr:row>
          <xdr:rowOff>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Action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6</xdr:col>
          <xdr:colOff>0</xdr:colOff>
          <xdr:row>0</xdr:row>
          <xdr:rowOff>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Action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762000</xdr:colOff>
          <xdr:row>0</xdr:row>
          <xdr:rowOff>0</xdr:rowOff>
        </xdr:from>
        <xdr:to>
          <xdr:col>2</xdr:col>
          <xdr:colOff>1962150</xdr:colOff>
          <xdr:row>0</xdr:row>
          <xdr:rowOff>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0</xdr:row>
          <xdr:rowOff>0</xdr:rowOff>
        </xdr:from>
        <xdr:to>
          <xdr:col>2</xdr:col>
          <xdr:colOff>704850</xdr:colOff>
          <xdr:row>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Insert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3</xdr:col>
          <xdr:colOff>0</xdr:colOff>
          <xdr:row>0</xdr:row>
          <xdr:rowOff>0</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0</xdr:rowOff>
        </xdr:from>
        <xdr:to>
          <xdr:col>2</xdr:col>
          <xdr:colOff>714375</xdr:colOff>
          <xdr:row>0</xdr:row>
          <xdr:rowOff>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Dependency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0</xdr:rowOff>
        </xdr:from>
        <xdr:to>
          <xdr:col>2</xdr:col>
          <xdr:colOff>714375</xdr:colOff>
          <xdr:row>0</xdr:row>
          <xdr:rowOff>0</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771525</xdr:colOff>
          <xdr:row>0</xdr:row>
          <xdr:rowOff>0</xdr:rowOff>
        </xdr:from>
        <xdr:to>
          <xdr:col>2</xdr:col>
          <xdr:colOff>1971675</xdr:colOff>
          <xdr:row>0</xdr:row>
          <xdr:rowOff>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Convert to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1676400</xdr:colOff>
          <xdr:row>0</xdr:row>
          <xdr:rowOff>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Convert to Depend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1676400</xdr:colOff>
          <xdr:row>0</xdr:row>
          <xdr:rowOff>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Convert to Consts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0</xdr:colOff>
          <xdr:row>0</xdr:row>
          <xdr:rowOff>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Remove Detail RQ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0</xdr:row>
          <xdr:rowOff>0</xdr:rowOff>
        </xdr:from>
        <xdr:to>
          <xdr:col>2</xdr:col>
          <xdr:colOff>704850</xdr:colOff>
          <xdr:row>0</xdr:row>
          <xdr:rowOff>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Remove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0</xdr:colOff>
          <xdr:row>0</xdr:row>
          <xdr:rowOff>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Detail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0</xdr:colOff>
          <xdr:row>0</xdr:row>
          <xdr:rowOff>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Detail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0</xdr:rowOff>
        </xdr:from>
        <xdr:to>
          <xdr:col>2</xdr:col>
          <xdr:colOff>428625</xdr:colOff>
          <xdr:row>0</xdr:row>
          <xdr:rowOff>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0</xdr:row>
          <xdr:rowOff>0</xdr:rowOff>
        </xdr:from>
        <xdr:to>
          <xdr:col>2</xdr:col>
          <xdr:colOff>419100</xdr:colOff>
          <xdr:row>0</xdr:row>
          <xdr:rowOff>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Insert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0</xdr:rowOff>
        </xdr:from>
        <xdr:to>
          <xdr:col>2</xdr:col>
          <xdr:colOff>1390650</xdr:colOff>
          <xdr:row>0</xdr:row>
          <xdr:rowOff>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Convert to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1400175</xdr:colOff>
          <xdr:row>0</xdr:row>
          <xdr:rowOff>0</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Convert to Assump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1400175</xdr:colOff>
          <xdr:row>0</xdr:row>
          <xdr:rowOff>0</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Convert to Depend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1400175</xdr:colOff>
          <xdr:row>0</xdr:row>
          <xdr:rowOff>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Convert to Consts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1495425</xdr:colOff>
          <xdr:row>0</xdr:row>
          <xdr:rowOff>0</xdr:rowOff>
        </xdr:from>
        <xdr:to>
          <xdr:col>2</xdr:col>
          <xdr:colOff>2333625</xdr:colOff>
          <xdr:row>0</xdr:row>
          <xdr:rowOff>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Remove Detail RQ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0</xdr:row>
          <xdr:rowOff>0</xdr:rowOff>
        </xdr:from>
        <xdr:to>
          <xdr:col>4</xdr:col>
          <xdr:colOff>514350</xdr:colOff>
          <xdr:row>0</xdr:row>
          <xdr:rowOff>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Action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2438400</xdr:colOff>
          <xdr:row>0</xdr:row>
          <xdr:rowOff>0</xdr:rowOff>
        </xdr:from>
        <xdr:to>
          <xdr:col>3</xdr:col>
          <xdr:colOff>0</xdr:colOff>
          <xdr:row>0</xdr:row>
          <xdr:rowOff>0</xdr:rowOff>
        </xdr:to>
        <xdr:sp macro="" textlink="">
          <xdr:nvSpPr>
            <xdr:cNvPr id="1138" name="Button 114" hidden="1">
              <a:extLst>
                <a:ext uri="{63B3BB69-23CF-44E3-9099-C40C66FF867C}">
                  <a14:compatExt spid="_x0000_s11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Go to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0</xdr:row>
          <xdr:rowOff>0</xdr:rowOff>
        </xdr:from>
        <xdr:to>
          <xdr:col>4</xdr:col>
          <xdr:colOff>514350</xdr:colOff>
          <xdr:row>0</xdr:row>
          <xdr:rowOff>0</xdr:rowOff>
        </xdr:to>
        <xdr:sp macro="" textlink="">
          <xdr:nvSpPr>
            <xdr:cNvPr id="1139" name="Button 115" hidden="1">
              <a:extLst>
                <a:ext uri="{63B3BB69-23CF-44E3-9099-C40C66FF867C}">
                  <a14:compatExt spid="_x0000_s11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438150</xdr:colOff>
          <xdr:row>0</xdr:row>
          <xdr:rowOff>0</xdr:rowOff>
        </xdr:to>
        <xdr:sp macro="" textlink="">
          <xdr:nvSpPr>
            <xdr:cNvPr id="1140" name="Button 116" hidden="1">
              <a:extLst>
                <a:ext uri="{63B3BB69-23CF-44E3-9099-C40C66FF867C}">
                  <a14:compatExt spid="_x0000_s11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Removed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438150</xdr:colOff>
          <xdr:row>0</xdr:row>
          <xdr:rowOff>0</xdr:rowOff>
        </xdr:to>
        <xdr:sp macro="" textlink="">
          <xdr:nvSpPr>
            <xdr:cNvPr id="1141" name="Button 117" hidden="1">
              <a:extLst>
                <a:ext uri="{63B3BB69-23CF-44E3-9099-C40C66FF867C}">
                  <a14:compatExt spid="_x0000_s11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2438400</xdr:colOff>
          <xdr:row>0</xdr:row>
          <xdr:rowOff>0</xdr:rowOff>
        </xdr:from>
        <xdr:to>
          <xdr:col>3</xdr:col>
          <xdr:colOff>0</xdr:colOff>
          <xdr:row>0</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Go To GP, A, D, 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0</xdr:rowOff>
        </xdr:from>
        <xdr:to>
          <xdr:col>2</xdr:col>
          <xdr:colOff>1390650</xdr:colOff>
          <xdr:row>0</xdr:row>
          <xdr:rowOff>0</xdr:rowOff>
        </xdr:to>
        <xdr:sp macro="" textlink="">
          <xdr:nvSpPr>
            <xdr:cNvPr id="1143" name="Button 119" hidden="1">
              <a:extLst>
                <a:ext uri="{63B3BB69-23CF-44E3-9099-C40C66FF867C}">
                  <a14:compatExt spid="_x0000_s11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Remove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1476375</xdr:colOff>
          <xdr:row>0</xdr:row>
          <xdr:rowOff>0</xdr:rowOff>
        </xdr:from>
        <xdr:to>
          <xdr:col>2</xdr:col>
          <xdr:colOff>2314575</xdr:colOff>
          <xdr:row>0</xdr:row>
          <xdr:rowOff>0</xdr:rowOff>
        </xdr:to>
        <xdr:sp macro="" textlink="">
          <xdr:nvSpPr>
            <xdr:cNvPr id="1144" name="Button 120" hidden="1">
              <a:extLst>
                <a:ext uri="{63B3BB69-23CF-44E3-9099-C40C66FF867C}">
                  <a14:compatExt spid="_x0000_s11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Detail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1495425</xdr:colOff>
          <xdr:row>0</xdr:row>
          <xdr:rowOff>0</xdr:rowOff>
        </xdr:from>
        <xdr:to>
          <xdr:col>2</xdr:col>
          <xdr:colOff>2333625</xdr:colOff>
          <xdr:row>0</xdr:row>
          <xdr:rowOff>0</xdr:rowOff>
        </xdr:to>
        <xdr:sp macro="" textlink="">
          <xdr:nvSpPr>
            <xdr:cNvPr id="1145" name="Button 121" hidden="1">
              <a:extLst>
                <a:ext uri="{63B3BB69-23CF-44E3-9099-C40C66FF867C}">
                  <a14:compatExt spid="_x0000_s1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Detail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2028825</xdr:colOff>
          <xdr:row>0</xdr:row>
          <xdr:rowOff>0</xdr:rowOff>
        </xdr:from>
        <xdr:to>
          <xdr:col>3</xdr:col>
          <xdr:colOff>0</xdr:colOff>
          <xdr:row>0</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Add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2057400</xdr:colOff>
          <xdr:row>0</xdr:row>
          <xdr:rowOff>0</xdr:rowOff>
        </xdr:from>
        <xdr:to>
          <xdr:col>3</xdr:col>
          <xdr:colOff>0</xdr:colOff>
          <xdr:row>0</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Convert to Assump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466725</xdr:colOff>
          <xdr:row>0</xdr:row>
          <xdr:rowOff>9525</xdr:rowOff>
        </xdr:from>
        <xdr:to>
          <xdr:col>2</xdr:col>
          <xdr:colOff>466725</xdr:colOff>
          <xdr:row>0</xdr:row>
          <xdr:rowOff>209550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457200</xdr:colOff>
          <xdr:row>0</xdr:row>
          <xdr:rowOff>209550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Insert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1400175</xdr:colOff>
          <xdr:row>0</xdr:row>
          <xdr:rowOff>9525</xdr:rowOff>
        </xdr:from>
        <xdr:to>
          <xdr:col>3</xdr:col>
          <xdr:colOff>2581275</xdr:colOff>
          <xdr:row>0</xdr:row>
          <xdr:rowOff>209550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466725</xdr:colOff>
          <xdr:row>0</xdr:row>
          <xdr:rowOff>219075</xdr:rowOff>
        </xdr:from>
        <xdr:to>
          <xdr:col>2</xdr:col>
          <xdr:colOff>466725</xdr:colOff>
          <xdr:row>1</xdr:row>
          <xdr:rowOff>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Convert to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219075</xdr:rowOff>
        </xdr:from>
        <xdr:to>
          <xdr:col>3</xdr:col>
          <xdr:colOff>1381125</xdr:colOff>
          <xdr:row>1</xdr:row>
          <xdr:rowOff>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Convert to Dependency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1400175</xdr:colOff>
          <xdr:row>0</xdr:row>
          <xdr:rowOff>219075</xdr:rowOff>
        </xdr:from>
        <xdr:to>
          <xdr:col>3</xdr:col>
          <xdr:colOff>2581275</xdr:colOff>
          <xdr:row>1</xdr:row>
          <xdr:rowOff>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Convert to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219075</xdr:rowOff>
        </xdr:from>
        <xdr:to>
          <xdr:col>1</xdr:col>
          <xdr:colOff>457200</xdr:colOff>
          <xdr:row>1</xdr:row>
          <xdr:rowOff>0</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Remove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476250</xdr:colOff>
          <xdr:row>0</xdr:row>
          <xdr:rowOff>9525</xdr:rowOff>
        </xdr:from>
        <xdr:to>
          <xdr:col>3</xdr:col>
          <xdr:colOff>190500</xdr:colOff>
          <xdr:row>0</xdr:row>
          <xdr:rowOff>209550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476250</xdr:colOff>
          <xdr:row>0</xdr:row>
          <xdr:rowOff>219075</xdr:rowOff>
        </xdr:from>
        <xdr:to>
          <xdr:col>3</xdr:col>
          <xdr:colOff>190500</xdr:colOff>
          <xdr:row>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Convert to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9525</xdr:rowOff>
        </xdr:from>
        <xdr:to>
          <xdr:col>3</xdr:col>
          <xdr:colOff>1381125</xdr:colOff>
          <xdr:row>0</xdr:row>
          <xdr:rowOff>209550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Dependency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219075</xdr:rowOff>
        </xdr:from>
        <xdr:to>
          <xdr:col>4</xdr:col>
          <xdr:colOff>1209675</xdr:colOff>
          <xdr:row>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Action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1219200</xdr:colOff>
          <xdr:row>0</xdr:row>
          <xdr:rowOff>9525</xdr:rowOff>
        </xdr:from>
        <xdr:to>
          <xdr:col>4</xdr:col>
          <xdr:colOff>2400300</xdr:colOff>
          <xdr:row>0</xdr:row>
          <xdr:rowOff>209550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Move Row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1219200</xdr:colOff>
          <xdr:row>0</xdr:row>
          <xdr:rowOff>219075</xdr:rowOff>
        </xdr:from>
        <xdr:to>
          <xdr:col>4</xdr:col>
          <xdr:colOff>2400300</xdr:colOff>
          <xdr:row>1</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Move Row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9525</xdr:rowOff>
        </xdr:from>
        <xdr:to>
          <xdr:col>4</xdr:col>
          <xdr:colOff>1209675</xdr:colOff>
          <xdr:row>0</xdr:row>
          <xdr:rowOff>209550</xdr:rowOff>
        </xdr:to>
        <xdr:sp macro="" textlink="">
          <xdr:nvSpPr>
            <xdr:cNvPr id="1206" name="Button 182" descr="Add Term/Definition"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Term/Definition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2409825</xdr:colOff>
          <xdr:row>0</xdr:row>
          <xdr:rowOff>219075</xdr:rowOff>
        </xdr:from>
        <xdr:to>
          <xdr:col>5</xdr:col>
          <xdr:colOff>571500</xdr:colOff>
          <xdr:row>1</xdr:row>
          <xdr:rowOff>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Create STD OBA BRD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2409825</xdr:colOff>
          <xdr:row>0</xdr:row>
          <xdr:rowOff>9525</xdr:rowOff>
        </xdr:from>
        <xdr:to>
          <xdr:col>5</xdr:col>
          <xdr:colOff>571500</xdr:colOff>
          <xdr:row>0</xdr:row>
          <xdr:rowOff>209550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New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9525</xdr:rowOff>
        </xdr:from>
        <xdr:to>
          <xdr:col>6</xdr:col>
          <xdr:colOff>361950</xdr:colOff>
          <xdr:row>1</xdr:row>
          <xdr:rowOff>0</xdr:rowOff>
        </xdr:to>
        <xdr:sp macro="" textlink="">
          <xdr:nvSpPr>
            <xdr:cNvPr id="1224" name="Button 200" descr="Load All Requirements to Mapping Worksheet"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Load All Requirements to Mapping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2590800</xdr:colOff>
          <xdr:row>0</xdr:row>
          <xdr:rowOff>9525</xdr:rowOff>
        </xdr:from>
        <xdr:to>
          <xdr:col>4</xdr:col>
          <xdr:colOff>19050</xdr:colOff>
          <xdr:row>0</xdr:row>
          <xdr:rowOff>209550</xdr:rowOff>
        </xdr:to>
        <xdr:sp macro="" textlink="">
          <xdr:nvSpPr>
            <xdr:cNvPr id="1254" name="Button 230" hidden="1">
              <a:extLst>
                <a:ext uri="{63B3BB69-23CF-44E3-9099-C40C66FF867C}">
                  <a14:compatExt spid="_x0000_s12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Add Risk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2590800</xdr:colOff>
          <xdr:row>0</xdr:row>
          <xdr:rowOff>219075</xdr:rowOff>
        </xdr:from>
        <xdr:to>
          <xdr:col>4</xdr:col>
          <xdr:colOff>19050</xdr:colOff>
          <xdr:row>1</xdr:row>
          <xdr:rowOff>0</xdr:rowOff>
        </xdr:to>
        <xdr:sp macro="" textlink="">
          <xdr:nvSpPr>
            <xdr:cNvPr id="1255" name="Button 231" hidden="1">
              <a:extLst>
                <a:ext uri="{63B3BB69-23CF-44E3-9099-C40C66FF867C}">
                  <a14:compatExt spid="_x0000_s1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Convert to Risk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1104900</xdr:colOff>
          <xdr:row>1</xdr:row>
          <xdr:rowOff>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Repeat Requirement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harepoint.auth.wellpoint.com/sites/babw_discovery/BRM/Shared%20Discovery%20Resources/Discovery%20Impacted%20Systems%20Template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equirements Mapping"/>
      <sheetName val="Impacted Systems List"/>
      <sheetName val="Component &amp; Complexity"/>
      <sheetName val="Drop Down Lists"/>
      <sheetName val="OBA"/>
      <sheetName val="Sheet1"/>
      <sheetName val="IS_Impacted_Systems_List"/>
    </sheetNames>
    <sheetDataSet>
      <sheetData sheetId="0"/>
      <sheetData sheetId="1"/>
      <sheetData sheetId="2"/>
      <sheetData sheetId="3">
        <row r="2">
          <cell r="A2" t="str">
            <v>Batch Programs</v>
          </cell>
          <cell r="B2" t="str">
            <v>1-Low</v>
          </cell>
        </row>
        <row r="3">
          <cell r="A3" t="str">
            <v>BI Objects</v>
          </cell>
          <cell r="B3" t="str">
            <v>2-Low</v>
          </cell>
        </row>
        <row r="4">
          <cell r="A4" t="str">
            <v>Business Logic Components</v>
          </cell>
          <cell r="B4" t="str">
            <v>3-Medium</v>
          </cell>
        </row>
        <row r="5">
          <cell r="A5" t="str">
            <v>Common/Utility Services</v>
          </cell>
          <cell r="B5" t="str">
            <v>4-Medium</v>
          </cell>
        </row>
        <row r="6">
          <cell r="A6" t="str">
            <v>COTS Configuration</v>
          </cell>
          <cell r="B6" t="str">
            <v>5-High</v>
          </cell>
        </row>
        <row r="7">
          <cell r="A7" t="str">
            <v>Dashboards</v>
          </cell>
          <cell r="B7" t="str">
            <v>6-High</v>
          </cell>
        </row>
        <row r="8">
          <cell r="A8" t="str">
            <v>Data Conversion Programs</v>
          </cell>
        </row>
        <row r="9">
          <cell r="A9" t="str">
            <v>Data Logic Components</v>
          </cell>
        </row>
        <row r="10">
          <cell r="A10" t="str">
            <v>Data Marts</v>
          </cell>
        </row>
        <row r="11">
          <cell r="A11" t="str">
            <v>Data Models</v>
          </cell>
        </row>
        <row r="12">
          <cell r="A12" t="str">
            <v>ETL programs</v>
          </cell>
        </row>
        <row r="13">
          <cell r="A13" t="str">
            <v>Infogix Controls</v>
          </cell>
        </row>
        <row r="14">
          <cell r="A14" t="str">
            <v>Interfaces</v>
          </cell>
        </row>
        <row r="15">
          <cell r="A15" t="str">
            <v>Planview</v>
          </cell>
        </row>
        <row r="16">
          <cell r="A16" t="str">
            <v>Presentation Components / Screens</v>
          </cell>
        </row>
        <row r="17">
          <cell r="A17" t="str">
            <v>Reports</v>
          </cell>
        </row>
        <row r="18">
          <cell r="A18" t="str">
            <v>Stored Procedures</v>
          </cell>
        </row>
        <row r="19">
          <cell r="A19" t="str">
            <v>Tables</v>
          </cell>
        </row>
        <row r="20">
          <cell r="A20" t="str">
            <v>Testing</v>
          </cell>
        </row>
      </sheetData>
      <sheetData sheetId="4" refreshError="1"/>
      <sheetData sheetId="5" refreshError="1"/>
      <sheetData sheetId="6" refreshError="1"/>
      <sheetData sheetId="7" refreshError="1"/>
    </sheetDataSet>
  </externalBook>
</externalLink>
</file>

<file path=xl/queryTables/queryTable1.xml><?xml version="1.0" encoding="utf-8"?>
<queryTable xmlns="http://schemas.openxmlformats.org/spreadsheetml/2006/main" name="term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jira.atlassian.com/secure/WikiRendererHelpAction.jspa?section=all" TargetMode="External"/><Relationship Id="rId7" Type="http://schemas.openxmlformats.org/officeDocument/2006/relationships/ctrlProp" Target="../ctrlProps/ctrlProp1.xml"/><Relationship Id="rId2" Type="http://schemas.openxmlformats.org/officeDocument/2006/relationships/hyperlink" Target="https://share.antheminc.com/sites/babw_discovery/BRM/Shared%20Discovery%20Resources/PROJECT%20NAME%20-%20BRD%20Initiation.xlsm" TargetMode="External"/><Relationship Id="rId1" Type="http://schemas.openxmlformats.org/officeDocument/2006/relationships/hyperlink" Target="https://share.antheminc.com/sites/babw_discovery/BRM/Shared%20Discovery%20Resources/PROJECT%20NAME%20-%20BRD%20Initiation.xls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share.antheminc.com/sites/SEGov/Initiation%20Project%20Docs/One%20Anthem/Stars%20and%20Risk%20Revenue/Medicare%20-Smart-%20Provider%20Finder/Medicare%20MDO%20Overview.pptx" TargetMode="External"/><Relationship Id="rId7" Type="http://schemas.openxmlformats.org/officeDocument/2006/relationships/vmlDrawing" Target="../drawings/vmlDrawing2.vml"/><Relationship Id="rId12" Type="http://schemas.openxmlformats.org/officeDocument/2006/relationships/ctrlProp" Target="../ctrlProps/ctrlProp6.xml"/><Relationship Id="rId17" Type="http://schemas.openxmlformats.org/officeDocument/2006/relationships/comments" Target="../comments2.xml"/><Relationship Id="rId2" Type="http://schemas.openxmlformats.org/officeDocument/2006/relationships/hyperlink" Target="https://share.antheminc.com/sites/SEGov/Initiation%20Project%20Docs/One%20Anthem/Stars%20and%20Risk%20Revenue/Medicare%20-Smart-%20Provider%20Finder/Medicare%20Smart%20Provider%20Finder%20Kickoff.pptx" TargetMode="External"/><Relationship Id="rId16" Type="http://schemas.openxmlformats.org/officeDocument/2006/relationships/queryTable" Target="../queryTables/queryTable1.xml"/><Relationship Id="rId1" Type="http://schemas.openxmlformats.org/officeDocument/2006/relationships/hyperlink" Target="https://confluence.anthem.com/display/PI/Find+the+Initiative+Issue+Type%27s+Information+in+JIRA+by+CWI+Work+ID+or+Wave+ID" TargetMode="External"/><Relationship Id="rId6" Type="http://schemas.openxmlformats.org/officeDocument/2006/relationships/drawing" Target="../drawings/drawing2.xml"/><Relationship Id="rId11" Type="http://schemas.openxmlformats.org/officeDocument/2006/relationships/ctrlProp" Target="../ctrlProps/ctrlProp5.xml"/><Relationship Id="rId5" Type="http://schemas.openxmlformats.org/officeDocument/2006/relationships/printerSettings" Target="../printerSettings/printerSettings2.bin"/><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hyperlink" Target="https://share.antheminc.com/sites/SEGov/Initiation%20Project%20Docs/One%20Anthem/Stars%20and%20Risk%20Revenue/Medicare%20-Smart-%20Provider%20Finder/Commercial%20Dashboard%20Report.msg" TargetMode="Externa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drawing" Target="../drawings/drawing3.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vmlDrawing" Target="../drawings/vmlDrawing3.v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8.xml"/><Relationship Id="rId18" Type="http://schemas.openxmlformats.org/officeDocument/2006/relationships/ctrlProp" Target="../ctrlProps/ctrlProp33.xml"/><Relationship Id="rId26" Type="http://schemas.openxmlformats.org/officeDocument/2006/relationships/ctrlProp" Target="../ctrlProps/ctrlProp41.xml"/><Relationship Id="rId39" Type="http://schemas.openxmlformats.org/officeDocument/2006/relationships/ctrlProp" Target="../ctrlProps/ctrlProp54.xml"/><Relationship Id="rId21" Type="http://schemas.openxmlformats.org/officeDocument/2006/relationships/ctrlProp" Target="../ctrlProps/ctrlProp36.xml"/><Relationship Id="rId34" Type="http://schemas.openxmlformats.org/officeDocument/2006/relationships/ctrlProp" Target="../ctrlProps/ctrlProp49.xml"/><Relationship Id="rId42" Type="http://schemas.openxmlformats.org/officeDocument/2006/relationships/ctrlProp" Target="../ctrlProps/ctrlProp57.xml"/><Relationship Id="rId47" Type="http://schemas.openxmlformats.org/officeDocument/2006/relationships/ctrlProp" Target="../ctrlProps/ctrlProp62.xml"/><Relationship Id="rId50" Type="http://schemas.openxmlformats.org/officeDocument/2006/relationships/ctrlProp" Target="../ctrlProps/ctrlProp65.xml"/><Relationship Id="rId55" Type="http://schemas.openxmlformats.org/officeDocument/2006/relationships/ctrlProp" Target="../ctrlProps/ctrlProp70.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2" Type="http://schemas.openxmlformats.org/officeDocument/2006/relationships/printerSettings" Target="../printerSettings/printerSettings8.bin"/><Relationship Id="rId16" Type="http://schemas.openxmlformats.org/officeDocument/2006/relationships/ctrlProp" Target="../ctrlProps/ctrlProp31.xml"/><Relationship Id="rId20" Type="http://schemas.openxmlformats.org/officeDocument/2006/relationships/ctrlProp" Target="../ctrlProps/ctrlProp35.xml"/><Relationship Id="rId29" Type="http://schemas.openxmlformats.org/officeDocument/2006/relationships/ctrlProp" Target="../ctrlProps/ctrlProp44.xml"/><Relationship Id="rId41" Type="http://schemas.openxmlformats.org/officeDocument/2006/relationships/ctrlProp" Target="../ctrlProps/ctrlProp56.xml"/><Relationship Id="rId54" Type="http://schemas.openxmlformats.org/officeDocument/2006/relationships/ctrlProp" Target="../ctrlProps/ctrlProp69.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8" Type="http://schemas.openxmlformats.org/officeDocument/2006/relationships/comments" Target="../comments3.xml"/><Relationship Id="rId5" Type="http://schemas.openxmlformats.org/officeDocument/2006/relationships/ctrlProp" Target="../ctrlProps/ctrlProp20.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19" Type="http://schemas.openxmlformats.org/officeDocument/2006/relationships/ctrlProp" Target="../ctrlProps/ctrlProp34.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4" Type="http://schemas.openxmlformats.org/officeDocument/2006/relationships/vmlDrawing" Target="../drawings/vmlDrawing4.vml"/><Relationship Id="rId9" Type="http://schemas.openxmlformats.org/officeDocument/2006/relationships/ctrlProp" Target="../ctrlProps/ctrlProp2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8" Type="http://schemas.openxmlformats.org/officeDocument/2006/relationships/ctrlProp" Target="../ctrlProps/ctrlProp23.xml"/><Relationship Id="rId51" Type="http://schemas.openxmlformats.org/officeDocument/2006/relationships/ctrlProp" Target="../ctrlProps/ctrlProp66.xml"/><Relationship Id="rId3"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hyperlink" Target="http://sharepoint.auth.wellpoint.com/sites/Lean_IT_CoP/Enablement_CoP/ess/ArchPreAssessments/Reference/DAD%20Impacted%20Systems%20Workbook%20Overview.pdf" TargetMode="External"/><Relationship Id="rId1" Type="http://schemas.openxmlformats.org/officeDocument/2006/relationships/hyperlink" Target="http://sharepoint.auth.wellpoint.com/sites/Lean_IT_CoP/Enablement_CoP/ess/ArchPreAssessments/Webpages/ImpactedSystems.htm"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comments" Target="../comments5.xml"/><Relationship Id="rId4" Type="http://schemas.openxmlformats.org/officeDocument/2006/relationships/ctrlProp" Target="../ctrlProps/ctrlProp7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2.bin"/><Relationship Id="rId1" Type="http://schemas.openxmlformats.org/officeDocument/2006/relationships/hyperlink" Target="https://share.antheminc.com/sites/SEGov/Custom%20Pages/PORAppLoaderNotif.aspx" TargetMode="Externa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boutSheet">
    <tabColor theme="3"/>
  </sheetPr>
  <dimension ref="B1:W81"/>
  <sheetViews>
    <sheetView zoomScaleNormal="100" workbookViewId="0">
      <pane ySplit="4" topLeftCell="A8" activePane="bottomLeft" state="frozenSplit"/>
      <selection pane="bottomLeft" activeCell="B22" sqref="B22:U22"/>
    </sheetView>
  </sheetViews>
  <sheetFormatPr defaultRowHeight="15" x14ac:dyDescent="0.25"/>
  <cols>
    <col min="1" max="1" width="1.7109375" style="73" customWidth="1"/>
    <col min="2" max="2" width="9.140625" style="73" customWidth="1"/>
    <col min="3" max="7" width="9.140625" style="73"/>
    <col min="8" max="8" width="16.140625" style="73" customWidth="1"/>
    <col min="9" max="9" width="13.28515625" style="73" customWidth="1"/>
    <col min="10" max="11" width="9.140625" style="73"/>
    <col min="12" max="12" width="11.5703125" style="73" customWidth="1"/>
    <col min="13" max="14" width="2.85546875" style="73" customWidth="1"/>
    <col min="15" max="15" width="9.140625" style="73"/>
    <col min="16" max="20" width="9.140625" style="78"/>
    <col min="21" max="21" width="8.85546875" style="78" customWidth="1"/>
    <col min="22" max="16384" width="9.140625" style="73"/>
  </cols>
  <sheetData>
    <row r="1" spans="2:23" s="170" customFormat="1" ht="8.25" customHeight="1" x14ac:dyDescent="0.25">
      <c r="P1" s="171"/>
      <c r="Q1" s="171"/>
      <c r="R1" s="171"/>
      <c r="S1" s="171"/>
      <c r="T1" s="171"/>
      <c r="U1" s="171"/>
    </row>
    <row r="2" spans="2:23" s="170" customFormat="1" ht="28.5" x14ac:dyDescent="0.35">
      <c r="B2" s="220" t="s">
        <v>590</v>
      </c>
      <c r="C2" s="220"/>
      <c r="D2" s="220"/>
      <c r="E2" s="220"/>
      <c r="F2" s="220"/>
      <c r="G2" s="220"/>
      <c r="H2" s="220"/>
      <c r="I2" s="220"/>
      <c r="J2" s="220"/>
      <c r="K2" s="220"/>
      <c r="L2" s="220"/>
      <c r="M2" s="172"/>
      <c r="O2" s="169" t="s">
        <v>650</v>
      </c>
      <c r="P2" s="171"/>
      <c r="Q2" s="171"/>
      <c r="R2" s="173" t="s">
        <v>651</v>
      </c>
      <c r="S2" s="171"/>
      <c r="T2" s="171"/>
      <c r="U2" s="171"/>
    </row>
    <row r="3" spans="2:23" s="98" customFormat="1" ht="15.75" x14ac:dyDescent="0.25">
      <c r="B3" s="221" t="s">
        <v>635</v>
      </c>
      <c r="C3" s="221"/>
      <c r="D3" s="221"/>
      <c r="E3" s="221"/>
      <c r="F3" s="221"/>
      <c r="G3" s="221"/>
      <c r="H3" s="221"/>
      <c r="I3" s="221"/>
      <c r="J3" s="221"/>
      <c r="K3" s="221"/>
      <c r="L3" s="221"/>
      <c r="M3" s="99"/>
      <c r="O3" s="174" t="s">
        <v>632</v>
      </c>
      <c r="P3" s="225" t="s">
        <v>633</v>
      </c>
      <c r="Q3" s="225"/>
      <c r="R3" s="227"/>
      <c r="S3" s="227"/>
      <c r="T3" s="227"/>
      <c r="U3" s="175"/>
    </row>
    <row r="4" spans="2:23" s="98" customFormat="1" x14ac:dyDescent="0.25">
      <c r="B4" s="223" t="s">
        <v>597</v>
      </c>
      <c r="C4" s="223"/>
      <c r="D4" s="223"/>
      <c r="E4" s="223"/>
      <c r="F4" s="223"/>
      <c r="G4" s="223"/>
      <c r="H4" s="223"/>
      <c r="I4" s="223"/>
      <c r="J4" s="223"/>
      <c r="K4" s="223"/>
      <c r="L4" s="223"/>
      <c r="M4" s="99"/>
      <c r="P4" s="225" t="s">
        <v>634</v>
      </c>
      <c r="Q4" s="225"/>
      <c r="R4" s="175"/>
      <c r="S4" s="175"/>
      <c r="T4" s="175"/>
      <c r="U4" s="175"/>
    </row>
    <row r="5" spans="2:23" ht="15.75" customHeight="1" x14ac:dyDescent="0.25">
      <c r="B5" s="228"/>
      <c r="C5" s="228"/>
      <c r="D5" s="228"/>
      <c r="E5" s="228"/>
      <c r="F5" s="228"/>
      <c r="G5" s="228"/>
      <c r="H5" s="228"/>
      <c r="I5" s="228"/>
      <c r="J5" s="228"/>
      <c r="K5" s="228"/>
      <c r="L5" s="228"/>
      <c r="M5" s="79"/>
      <c r="O5" s="74"/>
    </row>
    <row r="6" spans="2:23" ht="15.75" customHeight="1" x14ac:dyDescent="0.25">
      <c r="B6" s="224" t="s">
        <v>608</v>
      </c>
      <c r="C6" s="224"/>
      <c r="D6" s="224"/>
      <c r="E6" s="224"/>
      <c r="F6" s="224"/>
      <c r="G6" s="224"/>
      <c r="H6" s="224"/>
      <c r="I6" s="224"/>
      <c r="J6" s="224"/>
      <c r="K6" s="224"/>
      <c r="L6" s="224"/>
      <c r="M6" s="79"/>
      <c r="O6" s="229" t="s">
        <v>615</v>
      </c>
      <c r="P6" s="229"/>
      <c r="Q6" s="229"/>
      <c r="R6" s="229"/>
      <c r="S6" s="229"/>
      <c r="T6" s="229"/>
      <c r="U6" s="229"/>
    </row>
    <row r="7" spans="2:23" ht="15.75" customHeight="1" x14ac:dyDescent="0.25">
      <c r="B7" s="224"/>
      <c r="C7" s="224"/>
      <c r="D7" s="224"/>
      <c r="E7" s="224"/>
      <c r="F7" s="224"/>
      <c r="G7" s="224"/>
      <c r="H7" s="224"/>
      <c r="I7" s="224"/>
      <c r="J7" s="224"/>
      <c r="K7" s="224"/>
      <c r="L7" s="224"/>
      <c r="M7" s="79"/>
      <c r="O7" s="230" t="s">
        <v>616</v>
      </c>
      <c r="P7" s="230"/>
      <c r="Q7" s="230"/>
      <c r="R7" s="230"/>
      <c r="S7" s="230"/>
      <c r="T7" s="230"/>
      <c r="U7" s="230"/>
    </row>
    <row r="8" spans="2:23" ht="15.75" customHeight="1" x14ac:dyDescent="0.25">
      <c r="B8" s="224"/>
      <c r="C8" s="224"/>
      <c r="D8" s="224"/>
      <c r="E8" s="224"/>
      <c r="F8" s="224"/>
      <c r="G8" s="224"/>
      <c r="H8" s="224"/>
      <c r="I8" s="224"/>
      <c r="J8" s="224"/>
      <c r="K8" s="224"/>
      <c r="L8" s="224"/>
      <c r="M8" s="79"/>
      <c r="O8" s="218" t="s">
        <v>617</v>
      </c>
      <c r="P8" s="218"/>
      <c r="Q8" s="218"/>
      <c r="R8" s="218"/>
      <c r="S8" s="218"/>
      <c r="T8" s="218"/>
      <c r="U8" s="218"/>
    </row>
    <row r="9" spans="2:23" ht="15.75" customHeight="1" x14ac:dyDescent="0.25">
      <c r="B9" s="224"/>
      <c r="C9" s="224"/>
      <c r="D9" s="224"/>
      <c r="E9" s="224"/>
      <c r="F9" s="224"/>
      <c r="G9" s="224"/>
      <c r="H9" s="224"/>
      <c r="I9" s="224"/>
      <c r="J9" s="224"/>
      <c r="K9" s="224"/>
      <c r="L9" s="224"/>
      <c r="M9" s="79"/>
      <c r="O9" s="218" t="s">
        <v>619</v>
      </c>
      <c r="P9" s="218"/>
      <c r="Q9" s="218"/>
      <c r="R9" s="218"/>
      <c r="S9" s="218"/>
      <c r="T9" s="218"/>
      <c r="U9" s="218"/>
    </row>
    <row r="10" spans="2:23" ht="15.75" customHeight="1" x14ac:dyDescent="0.25">
      <c r="B10" s="224"/>
      <c r="C10" s="224"/>
      <c r="D10" s="224"/>
      <c r="E10" s="224"/>
      <c r="F10" s="224"/>
      <c r="G10" s="224"/>
      <c r="H10" s="224"/>
      <c r="I10" s="224"/>
      <c r="J10" s="224"/>
      <c r="K10" s="224"/>
      <c r="L10" s="224"/>
      <c r="M10" s="79"/>
      <c r="O10" s="218" t="s">
        <v>622</v>
      </c>
      <c r="P10" s="218"/>
      <c r="Q10" s="218"/>
      <c r="R10" s="218"/>
      <c r="S10" s="218"/>
      <c r="T10" s="218"/>
      <c r="U10" s="218"/>
    </row>
    <row r="11" spans="2:23" x14ac:dyDescent="0.25">
      <c r="B11" s="222"/>
      <c r="C11" s="222"/>
      <c r="D11" s="222"/>
      <c r="E11" s="222"/>
      <c r="F11" s="222"/>
      <c r="G11" s="222"/>
      <c r="H11" s="222"/>
      <c r="I11" s="222"/>
      <c r="J11" s="222"/>
      <c r="K11" s="222"/>
      <c r="L11" s="222"/>
      <c r="M11" s="80"/>
      <c r="O11" s="226"/>
      <c r="P11" s="226"/>
      <c r="Q11" s="226"/>
      <c r="R11" s="226"/>
      <c r="S11" s="226"/>
      <c r="T11" s="226"/>
      <c r="U11" s="226"/>
      <c r="V11" s="78"/>
      <c r="W11" s="78"/>
    </row>
    <row r="12" spans="2:23" ht="21" customHeight="1" x14ac:dyDescent="0.25">
      <c r="B12" s="219" t="s">
        <v>636</v>
      </c>
      <c r="C12" s="219"/>
      <c r="D12" s="219"/>
      <c r="E12" s="219"/>
      <c r="F12" s="219"/>
      <c r="G12" s="219"/>
      <c r="H12" s="219"/>
      <c r="I12" s="219"/>
      <c r="J12" s="219"/>
      <c r="K12" s="219"/>
      <c r="L12" s="219"/>
      <c r="M12" s="80"/>
      <c r="O12" s="219" t="s">
        <v>593</v>
      </c>
      <c r="P12" s="219"/>
      <c r="Q12" s="219"/>
      <c r="R12" s="219"/>
      <c r="S12" s="219"/>
      <c r="T12" s="219"/>
      <c r="U12" s="219"/>
      <c r="V12" s="168"/>
      <c r="W12" s="168"/>
    </row>
    <row r="13" spans="2:23" ht="39" customHeight="1" x14ac:dyDescent="0.25">
      <c r="B13" s="180" t="s">
        <v>581</v>
      </c>
      <c r="C13" s="181" t="s">
        <v>579</v>
      </c>
      <c r="D13" s="182" t="s">
        <v>580</v>
      </c>
      <c r="E13" s="182" t="s">
        <v>582</v>
      </c>
      <c r="F13" s="183" t="s">
        <v>583</v>
      </c>
      <c r="G13" s="183" t="s">
        <v>584</v>
      </c>
      <c r="H13" s="184" t="s">
        <v>585</v>
      </c>
      <c r="I13" s="184" t="s">
        <v>589</v>
      </c>
      <c r="J13" s="183" t="s">
        <v>588</v>
      </c>
      <c r="K13" s="185" t="s">
        <v>587</v>
      </c>
      <c r="L13" s="185" t="s">
        <v>586</v>
      </c>
      <c r="M13" s="80"/>
      <c r="O13" s="217" t="s">
        <v>551</v>
      </c>
      <c r="P13" s="217"/>
      <c r="Q13" s="217"/>
      <c r="R13" s="217"/>
      <c r="S13" s="217"/>
      <c r="T13" s="217"/>
      <c r="U13" s="217"/>
      <c r="V13" s="217"/>
      <c r="W13" s="217"/>
    </row>
    <row r="14" spans="2:23" ht="27.75" customHeight="1" x14ac:dyDescent="0.25">
      <c r="B14" s="177" t="s">
        <v>639</v>
      </c>
      <c r="C14" s="186" t="s">
        <v>638</v>
      </c>
      <c r="D14" s="187" t="s">
        <v>638</v>
      </c>
      <c r="E14" s="187" t="s">
        <v>638</v>
      </c>
      <c r="F14" s="178" t="s">
        <v>637</v>
      </c>
      <c r="G14" s="178" t="s">
        <v>637</v>
      </c>
      <c r="H14" s="188" t="s">
        <v>638</v>
      </c>
      <c r="I14" s="188" t="s">
        <v>638</v>
      </c>
      <c r="J14" s="178" t="s">
        <v>637</v>
      </c>
      <c r="K14" s="179" t="s">
        <v>639</v>
      </c>
      <c r="L14" s="179" t="s">
        <v>639</v>
      </c>
      <c r="M14" s="80"/>
      <c r="O14" s="176"/>
      <c r="P14" s="176"/>
      <c r="Q14" s="176"/>
      <c r="R14" s="176"/>
      <c r="S14" s="176"/>
      <c r="T14" s="176"/>
      <c r="U14" s="176"/>
      <c r="V14" s="176"/>
      <c r="W14" s="176"/>
    </row>
    <row r="15" spans="2:23" x14ac:dyDescent="0.25">
      <c r="B15" s="101"/>
      <c r="C15" s="101"/>
      <c r="D15" s="101"/>
      <c r="E15" s="101"/>
      <c r="F15" s="101"/>
      <c r="G15" s="101"/>
      <c r="H15" s="101"/>
      <c r="I15" s="101"/>
      <c r="J15" s="101"/>
      <c r="K15" s="101"/>
      <c r="L15" s="101"/>
      <c r="M15" s="154"/>
      <c r="N15" s="155"/>
      <c r="O15" s="100"/>
      <c r="P15" s="152"/>
      <c r="Q15" s="152"/>
      <c r="R15" s="152"/>
      <c r="S15" s="152"/>
      <c r="T15" s="152"/>
      <c r="U15" s="152"/>
      <c r="V15" s="78"/>
      <c r="W15" s="78"/>
    </row>
    <row r="16" spans="2:23" ht="8.25" customHeight="1" x14ac:dyDescent="0.25">
      <c r="B16" s="82"/>
      <c r="C16" s="82"/>
      <c r="D16" s="82"/>
      <c r="E16" s="82"/>
      <c r="F16" s="82"/>
      <c r="G16" s="82"/>
      <c r="H16" s="82"/>
      <c r="I16" s="82"/>
      <c r="J16" s="82"/>
      <c r="K16" s="82"/>
      <c r="L16" s="82"/>
      <c r="M16" s="152"/>
      <c r="O16" s="83"/>
      <c r="P16" s="83"/>
      <c r="Q16" s="83"/>
      <c r="R16" s="83"/>
      <c r="S16" s="83"/>
      <c r="T16" s="83"/>
      <c r="U16" s="83"/>
      <c r="V16" s="78"/>
      <c r="W16" s="78"/>
    </row>
    <row r="17" spans="2:21" ht="18.75" x14ac:dyDescent="0.25">
      <c r="B17" s="219" t="s">
        <v>607</v>
      </c>
      <c r="C17" s="219"/>
      <c r="D17" s="219"/>
      <c r="E17" s="219"/>
      <c r="F17" s="219"/>
      <c r="G17" s="219"/>
      <c r="H17" s="219"/>
      <c r="I17" s="219"/>
      <c r="J17" s="219"/>
      <c r="K17" s="219"/>
      <c r="L17" s="219"/>
      <c r="M17" s="219"/>
      <c r="N17" s="219"/>
      <c r="O17" s="219"/>
      <c r="P17" s="219"/>
      <c r="Q17" s="219"/>
      <c r="R17" s="219"/>
      <c r="S17" s="219"/>
      <c r="T17" s="219"/>
      <c r="U17" s="219"/>
    </row>
    <row r="18" spans="2:21" ht="34.5" customHeight="1" x14ac:dyDescent="0.25">
      <c r="B18" s="217" t="s">
        <v>610</v>
      </c>
      <c r="C18" s="217"/>
      <c r="D18" s="217"/>
      <c r="E18" s="217"/>
      <c r="F18" s="217"/>
      <c r="G18" s="217"/>
      <c r="H18" s="217"/>
      <c r="I18" s="217"/>
      <c r="J18" s="217"/>
      <c r="K18" s="217"/>
      <c r="L18" s="217"/>
      <c r="M18" s="217"/>
      <c r="N18" s="217"/>
      <c r="O18" s="217"/>
      <c r="P18" s="217"/>
      <c r="Q18" s="217"/>
      <c r="R18" s="217"/>
      <c r="S18" s="217"/>
      <c r="T18" s="217"/>
      <c r="U18" s="217"/>
    </row>
    <row r="19" spans="2:21" ht="33.75" customHeight="1" x14ac:dyDescent="0.25">
      <c r="B19" s="233" t="s">
        <v>618</v>
      </c>
      <c r="C19" s="233"/>
      <c r="D19" s="233"/>
      <c r="E19" s="233"/>
      <c r="F19" s="233"/>
      <c r="G19" s="233"/>
      <c r="H19" s="233"/>
      <c r="I19" s="233"/>
      <c r="J19" s="233"/>
      <c r="K19" s="233"/>
      <c r="L19" s="233"/>
      <c r="M19" s="233"/>
      <c r="N19" s="233"/>
      <c r="O19" s="233"/>
      <c r="P19" s="233"/>
      <c r="Q19" s="233"/>
      <c r="R19" s="233"/>
      <c r="S19" s="233"/>
      <c r="T19" s="233"/>
      <c r="U19" s="233"/>
    </row>
    <row r="20" spans="2:21" ht="15.75" customHeight="1" x14ac:dyDescent="0.25">
      <c r="B20" s="234" t="s">
        <v>601</v>
      </c>
      <c r="C20" s="234"/>
      <c r="D20" s="234"/>
      <c r="E20" s="234"/>
      <c r="F20" s="234"/>
      <c r="G20" s="234"/>
      <c r="H20" s="234"/>
      <c r="I20" s="234"/>
      <c r="J20" s="234"/>
      <c r="K20" s="234"/>
      <c r="L20" s="234"/>
      <c r="M20" s="234"/>
      <c r="N20" s="234"/>
      <c r="O20" s="234"/>
      <c r="P20" s="234"/>
      <c r="Q20" s="234"/>
      <c r="R20" s="234"/>
      <c r="S20" s="234"/>
      <c r="T20" s="234"/>
      <c r="U20" s="234"/>
    </row>
    <row r="21" spans="2:21" ht="15.75" customHeight="1" x14ac:dyDescent="0.25">
      <c r="B21" s="234" t="s">
        <v>602</v>
      </c>
      <c r="C21" s="234"/>
      <c r="D21" s="234"/>
      <c r="E21" s="234"/>
      <c r="F21" s="234"/>
      <c r="G21" s="234"/>
      <c r="H21" s="234"/>
      <c r="I21" s="234"/>
      <c r="J21" s="234"/>
      <c r="K21" s="234"/>
      <c r="L21" s="234"/>
      <c r="M21" s="234"/>
      <c r="N21" s="234"/>
      <c r="O21" s="234"/>
      <c r="P21" s="234"/>
      <c r="Q21" s="234"/>
      <c r="R21" s="234"/>
      <c r="S21" s="234"/>
      <c r="T21" s="234"/>
      <c r="U21" s="234"/>
    </row>
    <row r="22" spans="2:21" ht="15.75" customHeight="1" x14ac:dyDescent="0.25">
      <c r="B22" s="235" t="s">
        <v>609</v>
      </c>
      <c r="C22" s="235"/>
      <c r="D22" s="235"/>
      <c r="E22" s="235"/>
      <c r="F22" s="235"/>
      <c r="G22" s="235"/>
      <c r="H22" s="235"/>
      <c r="I22" s="235"/>
      <c r="J22" s="235"/>
      <c r="K22" s="235"/>
      <c r="L22" s="235"/>
      <c r="M22" s="235"/>
      <c r="N22" s="235"/>
      <c r="O22" s="235"/>
      <c r="P22" s="235"/>
      <c r="Q22" s="235"/>
      <c r="R22" s="235"/>
      <c r="S22" s="235"/>
      <c r="T22" s="235"/>
      <c r="U22" s="235"/>
    </row>
    <row r="23" spans="2:21" ht="15.75" customHeight="1" x14ac:dyDescent="0.25">
      <c r="B23" s="217" t="s">
        <v>605</v>
      </c>
      <c r="C23" s="217"/>
      <c r="D23" s="217"/>
      <c r="E23" s="217"/>
      <c r="F23" s="217"/>
      <c r="G23" s="217"/>
      <c r="H23" s="217"/>
      <c r="I23" s="217"/>
      <c r="J23" s="217"/>
      <c r="K23" s="217"/>
      <c r="L23" s="217"/>
      <c r="M23" s="217"/>
      <c r="N23" s="217"/>
      <c r="O23" s="217"/>
      <c r="P23" s="217"/>
      <c r="Q23" s="217"/>
      <c r="R23" s="217"/>
      <c r="S23" s="217"/>
      <c r="T23" s="217"/>
      <c r="U23" s="217"/>
    </row>
    <row r="24" spans="2:21" ht="96" customHeight="1" x14ac:dyDescent="0.25">
      <c r="B24" s="233" t="s">
        <v>604</v>
      </c>
      <c r="C24" s="233"/>
      <c r="D24" s="233"/>
      <c r="E24" s="233"/>
      <c r="F24" s="233"/>
      <c r="G24" s="233"/>
      <c r="H24" s="233"/>
      <c r="I24" s="233"/>
      <c r="J24" s="233"/>
      <c r="K24" s="233"/>
      <c r="L24" s="233"/>
      <c r="M24" s="233"/>
      <c r="N24" s="233"/>
      <c r="O24" s="233"/>
      <c r="P24" s="233"/>
      <c r="Q24" s="233"/>
      <c r="R24" s="233"/>
      <c r="S24" s="233"/>
      <c r="T24" s="233"/>
      <c r="U24" s="233"/>
    </row>
    <row r="25" spans="2:21" ht="15.75" customHeight="1" x14ac:dyDescent="0.25">
      <c r="B25" s="217" t="s">
        <v>603</v>
      </c>
      <c r="C25" s="217"/>
      <c r="D25" s="217"/>
      <c r="E25" s="217"/>
      <c r="F25" s="217"/>
      <c r="G25" s="217"/>
      <c r="H25" s="217"/>
      <c r="I25" s="217"/>
      <c r="J25" s="217"/>
      <c r="K25" s="217"/>
      <c r="L25" s="217"/>
      <c r="M25" s="217"/>
      <c r="N25" s="217"/>
      <c r="O25" s="217"/>
      <c r="P25" s="217"/>
      <c r="Q25" s="217"/>
      <c r="R25" s="217"/>
      <c r="S25" s="217"/>
      <c r="T25" s="217"/>
      <c r="U25" s="217"/>
    </row>
    <row r="26" spans="2:21" ht="15.75" customHeight="1" x14ac:dyDescent="0.25">
      <c r="B26" s="231" t="s">
        <v>606</v>
      </c>
      <c r="C26" s="231"/>
      <c r="D26" s="231"/>
      <c r="E26" s="231"/>
      <c r="F26" s="231"/>
      <c r="G26" s="231"/>
      <c r="H26" s="231"/>
      <c r="I26" s="231"/>
      <c r="J26" s="231"/>
      <c r="K26" s="231"/>
      <c r="L26" s="231"/>
      <c r="M26" s="231"/>
      <c r="N26" s="231"/>
      <c r="O26" s="231"/>
      <c r="P26" s="231"/>
      <c r="Q26" s="231"/>
      <c r="R26" s="231"/>
      <c r="S26" s="231"/>
      <c r="T26" s="231"/>
      <c r="U26" s="231"/>
    </row>
    <row r="27" spans="2:21" ht="15.75" customHeight="1" x14ac:dyDescent="0.25">
      <c r="B27" s="217" t="s">
        <v>640</v>
      </c>
      <c r="C27" s="217"/>
      <c r="D27" s="217"/>
      <c r="E27" s="217"/>
      <c r="F27" s="217"/>
      <c r="G27" s="217"/>
      <c r="H27" s="217"/>
      <c r="I27" s="217"/>
      <c r="J27" s="217"/>
      <c r="K27" s="217"/>
      <c r="L27" s="217"/>
      <c r="M27" s="217"/>
      <c r="N27" s="217"/>
      <c r="O27" s="217"/>
      <c r="P27" s="217"/>
      <c r="Q27" s="217"/>
      <c r="R27" s="217"/>
      <c r="S27" s="217"/>
      <c r="T27" s="217"/>
      <c r="U27" s="217"/>
    </row>
    <row r="28" spans="2:21" x14ac:dyDescent="0.25">
      <c r="B28" s="217"/>
      <c r="C28" s="217"/>
      <c r="D28" s="217"/>
      <c r="E28" s="217"/>
      <c r="F28" s="217"/>
      <c r="G28" s="217"/>
      <c r="H28" s="217"/>
      <c r="I28" s="217"/>
      <c r="J28" s="217"/>
      <c r="K28" s="217"/>
      <c r="L28" s="217"/>
      <c r="M28" s="217"/>
      <c r="N28" s="217"/>
      <c r="O28" s="217"/>
      <c r="P28" s="217"/>
      <c r="Q28" s="217"/>
      <c r="R28" s="217"/>
      <c r="S28" s="217"/>
      <c r="T28" s="217"/>
      <c r="U28" s="217"/>
    </row>
    <row r="29" spans="2:21" ht="18.75" x14ac:dyDescent="0.25">
      <c r="B29" s="219" t="s">
        <v>574</v>
      </c>
      <c r="C29" s="219"/>
      <c r="D29" s="219"/>
      <c r="E29" s="219"/>
      <c r="F29" s="219"/>
      <c r="G29" s="219"/>
      <c r="H29" s="219"/>
      <c r="I29" s="219"/>
      <c r="J29" s="219"/>
      <c r="K29" s="219"/>
      <c r="L29" s="219"/>
      <c r="M29" s="219"/>
      <c r="N29" s="219"/>
      <c r="O29" s="219"/>
      <c r="P29" s="219"/>
      <c r="Q29" s="219"/>
      <c r="R29" s="219"/>
      <c r="S29" s="219"/>
      <c r="T29" s="219"/>
      <c r="U29" s="219"/>
    </row>
    <row r="30" spans="2:21" ht="36" customHeight="1" x14ac:dyDescent="0.25">
      <c r="B30" s="217" t="s">
        <v>591</v>
      </c>
      <c r="C30" s="217"/>
      <c r="D30" s="217"/>
      <c r="E30" s="217"/>
      <c r="F30" s="217"/>
      <c r="G30" s="217"/>
      <c r="H30" s="217"/>
      <c r="I30" s="217"/>
      <c r="J30" s="217"/>
      <c r="K30" s="217"/>
      <c r="L30" s="217"/>
      <c r="M30" s="217"/>
      <c r="N30" s="217"/>
      <c r="O30" s="217"/>
      <c r="P30" s="217"/>
      <c r="Q30" s="217"/>
      <c r="R30" s="217"/>
      <c r="S30" s="217"/>
      <c r="T30" s="217"/>
      <c r="U30" s="217"/>
    </row>
    <row r="31" spans="2:21" x14ac:dyDescent="0.25">
      <c r="B31" s="81"/>
      <c r="C31" s="81"/>
      <c r="D31" s="81"/>
      <c r="E31" s="81"/>
      <c r="F31" s="81"/>
      <c r="G31" s="81"/>
      <c r="H31" s="81"/>
      <c r="I31" s="81"/>
      <c r="J31" s="81"/>
      <c r="K31" s="81"/>
      <c r="L31" s="81"/>
    </row>
    <row r="32" spans="2:21" ht="18.75" x14ac:dyDescent="0.3">
      <c r="B32" s="232" t="s">
        <v>592</v>
      </c>
      <c r="C32" s="232"/>
      <c r="D32" s="232"/>
      <c r="E32" s="232"/>
      <c r="F32" s="232"/>
      <c r="G32" s="232"/>
      <c r="H32" s="232"/>
      <c r="I32" s="232"/>
      <c r="J32" s="232"/>
      <c r="K32" s="232"/>
      <c r="L32" s="232"/>
      <c r="M32" s="232"/>
      <c r="N32" s="232"/>
      <c r="O32" s="232"/>
      <c r="P32" s="232"/>
      <c r="Q32" s="232"/>
      <c r="R32" s="232"/>
      <c r="S32" s="232"/>
      <c r="T32" s="232"/>
      <c r="U32" s="232"/>
    </row>
    <row r="33" spans="2:21" ht="18.75" customHeight="1" x14ac:dyDescent="0.3">
      <c r="B33" s="161">
        <v>4.5</v>
      </c>
      <c r="C33" s="211" t="s">
        <v>653</v>
      </c>
      <c r="D33" s="212"/>
      <c r="E33" s="212"/>
      <c r="F33" s="212"/>
      <c r="G33" s="212"/>
      <c r="H33" s="212"/>
      <c r="I33" s="212"/>
      <c r="J33" s="212"/>
      <c r="K33" s="212"/>
      <c r="L33" s="212"/>
      <c r="M33" s="212"/>
      <c r="N33" s="212"/>
      <c r="O33" s="212"/>
      <c r="P33" s="212"/>
      <c r="Q33" s="212"/>
      <c r="R33" s="212"/>
      <c r="S33" s="167"/>
      <c r="T33" s="167"/>
      <c r="U33" s="167"/>
    </row>
    <row r="34" spans="2:21" ht="15" customHeight="1" x14ac:dyDescent="0.3">
      <c r="B34" s="159"/>
      <c r="C34" s="213" t="s">
        <v>620</v>
      </c>
      <c r="D34" s="214"/>
      <c r="E34" s="214"/>
      <c r="F34" s="214"/>
      <c r="G34" s="214"/>
      <c r="H34" s="214"/>
      <c r="I34" s="214"/>
      <c r="J34" s="214"/>
      <c r="K34" s="214"/>
      <c r="L34" s="214"/>
      <c r="M34" s="214"/>
      <c r="N34" s="214"/>
      <c r="O34" s="214"/>
      <c r="P34" s="214"/>
      <c r="Q34" s="214"/>
      <c r="R34" s="214"/>
      <c r="S34" s="167"/>
      <c r="T34" s="167"/>
      <c r="U34" s="167"/>
    </row>
    <row r="35" spans="2:21" ht="93" customHeight="1" x14ac:dyDescent="0.3">
      <c r="B35" s="159"/>
      <c r="C35" s="215" t="s">
        <v>655</v>
      </c>
      <c r="D35" s="216"/>
      <c r="E35" s="216"/>
      <c r="F35" s="216"/>
      <c r="G35" s="216"/>
      <c r="H35" s="216"/>
      <c r="I35" s="216"/>
      <c r="J35" s="216"/>
      <c r="K35" s="216"/>
      <c r="L35" s="216"/>
      <c r="M35" s="216"/>
      <c r="N35" s="216"/>
      <c r="O35" s="216"/>
      <c r="P35" s="216"/>
      <c r="Q35" s="216"/>
      <c r="R35" s="216"/>
      <c r="S35" s="167"/>
      <c r="T35" s="167"/>
      <c r="U35" s="167"/>
    </row>
    <row r="36" spans="2:21" ht="18.75" customHeight="1" x14ac:dyDescent="0.3">
      <c r="B36" s="161">
        <v>4.4000000000000004</v>
      </c>
      <c r="C36" s="211" t="s">
        <v>652</v>
      </c>
      <c r="D36" s="212"/>
      <c r="E36" s="212"/>
      <c r="F36" s="212"/>
      <c r="G36" s="212"/>
      <c r="H36" s="212"/>
      <c r="I36" s="212"/>
      <c r="J36" s="212"/>
      <c r="K36" s="212"/>
      <c r="L36" s="212"/>
      <c r="M36" s="212"/>
      <c r="N36" s="212"/>
      <c r="O36" s="212"/>
      <c r="P36" s="212"/>
      <c r="Q36" s="212"/>
      <c r="R36" s="212"/>
      <c r="S36" s="167"/>
      <c r="T36" s="167"/>
      <c r="U36" s="167"/>
    </row>
    <row r="37" spans="2:21" ht="15" customHeight="1" x14ac:dyDescent="0.3">
      <c r="B37" s="159"/>
      <c r="C37" s="213" t="s">
        <v>620</v>
      </c>
      <c r="D37" s="214"/>
      <c r="E37" s="214"/>
      <c r="F37" s="214"/>
      <c r="G37" s="214"/>
      <c r="H37" s="214"/>
      <c r="I37" s="214"/>
      <c r="J37" s="214"/>
      <c r="K37" s="214"/>
      <c r="L37" s="214"/>
      <c r="M37" s="214"/>
      <c r="N37" s="214"/>
      <c r="O37" s="214"/>
      <c r="P37" s="214"/>
      <c r="Q37" s="214"/>
      <c r="R37" s="214"/>
      <c r="S37" s="167"/>
      <c r="T37" s="167"/>
      <c r="U37" s="167"/>
    </row>
    <row r="38" spans="2:21" ht="158.25" customHeight="1" x14ac:dyDescent="0.3">
      <c r="B38" s="159"/>
      <c r="C38" s="215" t="s">
        <v>645</v>
      </c>
      <c r="D38" s="216"/>
      <c r="E38" s="216"/>
      <c r="F38" s="216"/>
      <c r="G38" s="216"/>
      <c r="H38" s="216"/>
      <c r="I38" s="216"/>
      <c r="J38" s="216"/>
      <c r="K38" s="216"/>
      <c r="L38" s="216"/>
      <c r="M38" s="216"/>
      <c r="N38" s="216"/>
      <c r="O38" s="216"/>
      <c r="P38" s="216"/>
      <c r="Q38" s="216"/>
      <c r="R38" s="216"/>
      <c r="S38" s="167"/>
      <c r="T38" s="167"/>
      <c r="U38" s="167"/>
    </row>
    <row r="39" spans="2:21" s="156" customFormat="1" ht="15" customHeight="1" x14ac:dyDescent="0.25">
      <c r="B39" s="161">
        <v>4.3</v>
      </c>
      <c r="C39" s="211" t="s">
        <v>652</v>
      </c>
      <c r="D39" s="212"/>
      <c r="E39" s="212"/>
      <c r="F39" s="212"/>
      <c r="G39" s="212"/>
      <c r="H39" s="212"/>
      <c r="I39" s="212"/>
      <c r="J39" s="212"/>
      <c r="K39" s="212"/>
      <c r="L39" s="212"/>
      <c r="M39" s="212"/>
      <c r="N39" s="212"/>
      <c r="O39" s="212"/>
      <c r="P39" s="212"/>
      <c r="Q39" s="212"/>
      <c r="R39" s="212"/>
      <c r="S39" s="157"/>
      <c r="T39" s="157"/>
      <c r="U39" s="157"/>
    </row>
    <row r="40" spans="2:21" s="153" customFormat="1" ht="15" customHeight="1" x14ac:dyDescent="0.25">
      <c r="B40" s="159"/>
      <c r="C40" s="213" t="s">
        <v>620</v>
      </c>
      <c r="D40" s="214"/>
      <c r="E40" s="214"/>
      <c r="F40" s="214"/>
      <c r="G40" s="214"/>
      <c r="H40" s="214"/>
      <c r="I40" s="214"/>
      <c r="J40" s="214"/>
      <c r="K40" s="214"/>
      <c r="L40" s="214"/>
      <c r="M40" s="214"/>
      <c r="N40" s="214"/>
      <c r="O40" s="214"/>
      <c r="P40" s="214"/>
      <c r="Q40" s="214"/>
      <c r="R40" s="214"/>
      <c r="S40" s="158"/>
      <c r="T40" s="158"/>
      <c r="U40" s="158"/>
    </row>
    <row r="41" spans="2:21" s="153" customFormat="1" ht="15" customHeight="1" x14ac:dyDescent="0.25">
      <c r="B41" s="159"/>
      <c r="C41" s="215" t="s">
        <v>624</v>
      </c>
      <c r="D41" s="216"/>
      <c r="E41" s="216"/>
      <c r="F41" s="216"/>
      <c r="G41" s="216"/>
      <c r="H41" s="216"/>
      <c r="I41" s="216"/>
      <c r="J41" s="216"/>
      <c r="K41" s="216"/>
      <c r="L41" s="216"/>
      <c r="M41" s="216"/>
      <c r="N41" s="216"/>
      <c r="O41" s="216"/>
      <c r="P41" s="216"/>
      <c r="Q41" s="216"/>
      <c r="R41" s="216"/>
      <c r="S41" s="158"/>
      <c r="T41" s="158"/>
      <c r="U41" s="158"/>
    </row>
    <row r="42" spans="2:21" s="156" customFormat="1" ht="15.75" customHeight="1" x14ac:dyDescent="0.25">
      <c r="B42" s="161">
        <v>4.2</v>
      </c>
      <c r="C42" s="211" t="s">
        <v>652</v>
      </c>
      <c r="D42" s="212"/>
      <c r="E42" s="212"/>
      <c r="F42" s="212"/>
      <c r="G42" s="212"/>
      <c r="H42" s="212"/>
      <c r="I42" s="212"/>
      <c r="J42" s="212"/>
      <c r="K42" s="212"/>
      <c r="L42" s="212"/>
      <c r="M42" s="212"/>
      <c r="N42" s="212"/>
      <c r="O42" s="212"/>
      <c r="P42" s="212"/>
      <c r="Q42" s="212"/>
      <c r="R42" s="212"/>
      <c r="S42" s="157"/>
      <c r="T42" s="157"/>
      <c r="U42" s="157"/>
    </row>
    <row r="43" spans="2:21" s="156" customFormat="1" ht="15" customHeight="1" x14ac:dyDescent="0.25">
      <c r="B43" s="160"/>
      <c r="C43" s="213" t="s">
        <v>621</v>
      </c>
      <c r="D43" s="214"/>
      <c r="E43" s="214"/>
      <c r="F43" s="214"/>
      <c r="G43" s="214"/>
      <c r="H43" s="214"/>
      <c r="I43" s="214"/>
      <c r="J43" s="214"/>
      <c r="K43" s="214"/>
      <c r="L43" s="214"/>
      <c r="M43" s="214"/>
      <c r="N43" s="214"/>
      <c r="O43" s="214"/>
      <c r="P43" s="214"/>
      <c r="Q43" s="214"/>
      <c r="R43" s="214"/>
      <c r="S43" s="157"/>
      <c r="T43" s="157"/>
      <c r="U43" s="157"/>
    </row>
    <row r="44" spans="2:21" s="156" customFormat="1" ht="56.25" customHeight="1" x14ac:dyDescent="0.25">
      <c r="B44" s="160"/>
      <c r="C44" s="215" t="s">
        <v>625</v>
      </c>
      <c r="D44" s="216"/>
      <c r="E44" s="216"/>
      <c r="F44" s="216"/>
      <c r="G44" s="216"/>
      <c r="H44" s="216"/>
      <c r="I44" s="216"/>
      <c r="J44" s="216"/>
      <c r="K44" s="216"/>
      <c r="L44" s="216"/>
      <c r="M44" s="216"/>
      <c r="N44" s="216"/>
      <c r="O44" s="216"/>
      <c r="P44" s="216"/>
      <c r="Q44" s="216"/>
      <c r="R44" s="216"/>
      <c r="S44" s="157"/>
      <c r="T44" s="157"/>
      <c r="U44" s="157"/>
    </row>
    <row r="45" spans="2:21" s="156" customFormat="1" ht="15" customHeight="1" x14ac:dyDescent="0.25">
      <c r="B45" s="161">
        <v>4.0999999999999996</v>
      </c>
      <c r="C45" s="211" t="s">
        <v>652</v>
      </c>
      <c r="D45" s="212"/>
      <c r="E45" s="212"/>
      <c r="F45" s="212"/>
      <c r="G45" s="212"/>
      <c r="H45" s="212"/>
      <c r="I45" s="212"/>
      <c r="J45" s="212"/>
      <c r="K45" s="212"/>
      <c r="L45" s="212"/>
      <c r="M45" s="212"/>
      <c r="N45" s="212"/>
      <c r="O45" s="212"/>
      <c r="P45" s="212"/>
      <c r="Q45" s="212"/>
      <c r="R45" s="212"/>
      <c r="S45" s="157"/>
      <c r="T45" s="157"/>
      <c r="U45" s="157"/>
    </row>
    <row r="46" spans="2:21" s="156" customFormat="1" ht="15" customHeight="1" x14ac:dyDescent="0.25">
      <c r="B46" s="160"/>
      <c r="C46" s="213" t="s">
        <v>621</v>
      </c>
      <c r="D46" s="214"/>
      <c r="E46" s="214"/>
      <c r="F46" s="214"/>
      <c r="G46" s="214"/>
      <c r="H46" s="214"/>
      <c r="I46" s="214"/>
      <c r="J46" s="214"/>
      <c r="K46" s="214"/>
      <c r="L46" s="214"/>
      <c r="M46" s="214"/>
      <c r="N46" s="214"/>
      <c r="O46" s="214"/>
      <c r="P46" s="214"/>
      <c r="Q46" s="214"/>
      <c r="R46" s="214"/>
      <c r="S46" s="157"/>
      <c r="T46" s="157"/>
      <c r="U46" s="157"/>
    </row>
    <row r="47" spans="2:21" s="156" customFormat="1" ht="81" customHeight="1" x14ac:dyDescent="0.25">
      <c r="B47" s="160"/>
      <c r="C47" s="215" t="s">
        <v>654</v>
      </c>
      <c r="D47" s="216"/>
      <c r="E47" s="216"/>
      <c r="F47" s="216"/>
      <c r="G47" s="216"/>
      <c r="H47" s="216"/>
      <c r="I47" s="216"/>
      <c r="J47" s="216"/>
      <c r="K47" s="216"/>
      <c r="L47" s="216"/>
      <c r="M47" s="216"/>
      <c r="N47" s="216"/>
      <c r="O47" s="216"/>
      <c r="P47" s="216"/>
      <c r="Q47" s="216"/>
      <c r="R47" s="216"/>
      <c r="S47" s="157"/>
      <c r="T47" s="157"/>
      <c r="U47" s="157"/>
    </row>
    <row r="48" spans="2:21" s="156" customFormat="1" ht="15.75" customHeight="1" x14ac:dyDescent="0.25">
      <c r="B48" s="161">
        <v>4</v>
      </c>
      <c r="C48" s="211" t="s">
        <v>652</v>
      </c>
      <c r="D48" s="212"/>
      <c r="E48" s="212"/>
      <c r="F48" s="212"/>
      <c r="G48" s="212"/>
      <c r="H48" s="212"/>
      <c r="I48" s="212"/>
      <c r="J48" s="212"/>
      <c r="K48" s="212"/>
      <c r="L48" s="212"/>
      <c r="M48" s="212"/>
      <c r="N48" s="212"/>
      <c r="O48" s="212"/>
      <c r="P48" s="212"/>
      <c r="Q48" s="212"/>
      <c r="R48" s="212"/>
      <c r="S48" s="157"/>
      <c r="T48" s="157"/>
      <c r="U48" s="157"/>
    </row>
    <row r="49" spans="2:21" s="156" customFormat="1" ht="15" customHeight="1" x14ac:dyDescent="0.25">
      <c r="B49" s="160"/>
      <c r="C49" s="213" t="s">
        <v>621</v>
      </c>
      <c r="D49" s="214"/>
      <c r="E49" s="214"/>
      <c r="F49" s="214"/>
      <c r="G49" s="214"/>
      <c r="H49" s="214"/>
      <c r="I49" s="214"/>
      <c r="J49" s="214"/>
      <c r="K49" s="214"/>
      <c r="L49" s="214"/>
      <c r="M49" s="214"/>
      <c r="N49" s="214"/>
      <c r="O49" s="214"/>
      <c r="P49" s="214"/>
      <c r="Q49" s="214"/>
      <c r="R49" s="214"/>
      <c r="S49" s="157"/>
      <c r="T49" s="157"/>
      <c r="U49" s="157"/>
    </row>
    <row r="50" spans="2:21" s="156" customFormat="1" ht="67.5" customHeight="1" x14ac:dyDescent="0.25">
      <c r="B50" s="160"/>
      <c r="C50" s="215" t="s">
        <v>628</v>
      </c>
      <c r="D50" s="216"/>
      <c r="E50" s="216"/>
      <c r="F50" s="216"/>
      <c r="G50" s="216"/>
      <c r="H50" s="216"/>
      <c r="I50" s="216"/>
      <c r="J50" s="216"/>
      <c r="K50" s="216"/>
      <c r="L50" s="216"/>
      <c r="M50" s="216"/>
      <c r="N50" s="216"/>
      <c r="O50" s="216"/>
      <c r="P50" s="216"/>
      <c r="Q50" s="216"/>
      <c r="R50" s="216"/>
      <c r="S50" s="157"/>
      <c r="T50" s="157"/>
      <c r="U50" s="157"/>
    </row>
    <row r="51" spans="2:21" s="156" customFormat="1" ht="15.75" customHeight="1" x14ac:dyDescent="0.25">
      <c r="B51" s="162" t="s">
        <v>623</v>
      </c>
      <c r="C51" s="211" t="s">
        <v>652</v>
      </c>
      <c r="D51" s="212"/>
      <c r="E51" s="212"/>
      <c r="F51" s="212"/>
      <c r="G51" s="212"/>
      <c r="H51" s="212"/>
      <c r="I51" s="212"/>
      <c r="J51" s="212"/>
      <c r="K51" s="212"/>
      <c r="L51" s="212"/>
      <c r="M51" s="212"/>
      <c r="N51" s="212"/>
      <c r="O51" s="212"/>
      <c r="P51" s="212"/>
      <c r="Q51" s="212"/>
      <c r="R51" s="212"/>
      <c r="S51" s="157"/>
      <c r="T51" s="157"/>
      <c r="U51" s="157"/>
    </row>
    <row r="52" spans="2:21" s="156" customFormat="1" ht="15" customHeight="1" x14ac:dyDescent="0.25">
      <c r="B52" s="160"/>
      <c r="C52" s="213" t="s">
        <v>621</v>
      </c>
      <c r="D52" s="214"/>
      <c r="E52" s="214"/>
      <c r="F52" s="214"/>
      <c r="G52" s="214"/>
      <c r="H52" s="214"/>
      <c r="I52" s="214"/>
      <c r="J52" s="214"/>
      <c r="K52" s="214"/>
      <c r="L52" s="214"/>
      <c r="M52" s="214"/>
      <c r="N52" s="214"/>
      <c r="O52" s="214"/>
      <c r="P52" s="214"/>
      <c r="Q52" s="214"/>
      <c r="R52" s="214"/>
      <c r="S52" s="157"/>
      <c r="T52" s="157"/>
      <c r="U52" s="157"/>
    </row>
    <row r="53" spans="2:21" s="156" customFormat="1" ht="276" customHeight="1" x14ac:dyDescent="0.25">
      <c r="B53" s="160"/>
      <c r="C53" s="215" t="s">
        <v>629</v>
      </c>
      <c r="D53" s="216"/>
      <c r="E53" s="216"/>
      <c r="F53" s="216"/>
      <c r="G53" s="216"/>
      <c r="H53" s="216"/>
      <c r="I53" s="216"/>
      <c r="J53" s="216"/>
      <c r="K53" s="216"/>
      <c r="L53" s="216"/>
      <c r="M53" s="216"/>
      <c r="N53" s="216"/>
      <c r="O53" s="216"/>
      <c r="P53" s="216"/>
      <c r="Q53" s="216"/>
      <c r="R53" s="216"/>
      <c r="S53" s="157"/>
      <c r="T53" s="157"/>
      <c r="U53" s="157"/>
    </row>
    <row r="54" spans="2:21" x14ac:dyDescent="0.25">
      <c r="B54" s="75"/>
    </row>
    <row r="55" spans="2:21" x14ac:dyDescent="0.25">
      <c r="B55" s="75"/>
    </row>
    <row r="56" spans="2:21" x14ac:dyDescent="0.25">
      <c r="B56" s="75"/>
    </row>
    <row r="57" spans="2:21" x14ac:dyDescent="0.25">
      <c r="B57" s="75"/>
    </row>
    <row r="58" spans="2:21" x14ac:dyDescent="0.25">
      <c r="B58" s="75"/>
    </row>
    <row r="59" spans="2:21" x14ac:dyDescent="0.25">
      <c r="B59" s="75"/>
    </row>
    <row r="60" spans="2:21" x14ac:dyDescent="0.25">
      <c r="B60" s="75"/>
    </row>
    <row r="61" spans="2:21" x14ac:dyDescent="0.25">
      <c r="B61" s="75"/>
    </row>
    <row r="62" spans="2:21" x14ac:dyDescent="0.25">
      <c r="B62" s="75"/>
    </row>
    <row r="63" spans="2:21" x14ac:dyDescent="0.25">
      <c r="B63" s="75"/>
    </row>
    <row r="64" spans="2:21" x14ac:dyDescent="0.25">
      <c r="B64" s="75"/>
    </row>
    <row r="65" spans="2:2" x14ac:dyDescent="0.25">
      <c r="B65" s="75"/>
    </row>
    <row r="66" spans="2:2" x14ac:dyDescent="0.25">
      <c r="B66" s="75"/>
    </row>
    <row r="67" spans="2:2" x14ac:dyDescent="0.25">
      <c r="B67" s="75"/>
    </row>
    <row r="68" spans="2:2" x14ac:dyDescent="0.25">
      <c r="B68" s="75"/>
    </row>
    <row r="69" spans="2:2" x14ac:dyDescent="0.25">
      <c r="B69" s="75"/>
    </row>
    <row r="70" spans="2:2" x14ac:dyDescent="0.25">
      <c r="B70" s="75"/>
    </row>
    <row r="71" spans="2:2" x14ac:dyDescent="0.25">
      <c r="B71" s="75"/>
    </row>
    <row r="72" spans="2:2" x14ac:dyDescent="0.25">
      <c r="B72" s="75"/>
    </row>
    <row r="73" spans="2:2" x14ac:dyDescent="0.25">
      <c r="B73" s="75"/>
    </row>
    <row r="74" spans="2:2" x14ac:dyDescent="0.25">
      <c r="B74" s="75"/>
    </row>
    <row r="75" spans="2:2" x14ac:dyDescent="0.25">
      <c r="B75" s="75"/>
    </row>
    <row r="76" spans="2:2" x14ac:dyDescent="0.25">
      <c r="B76" s="75"/>
    </row>
    <row r="77" spans="2:2" x14ac:dyDescent="0.25">
      <c r="B77" s="75"/>
    </row>
    <row r="78" spans="2:2" x14ac:dyDescent="0.25">
      <c r="B78" s="75"/>
    </row>
    <row r="79" spans="2:2" x14ac:dyDescent="0.25">
      <c r="B79" s="75"/>
    </row>
    <row r="80" spans="2:2" x14ac:dyDescent="0.25">
      <c r="B80" s="75"/>
    </row>
    <row r="81" spans="2:2" x14ac:dyDescent="0.25">
      <c r="B81" s="75"/>
    </row>
  </sheetData>
  <sheetProtection sheet="1" objects="1" scenarios="1"/>
  <mergeCells count="54">
    <mergeCell ref="B26:U26"/>
    <mergeCell ref="B29:U29"/>
    <mergeCell ref="B32:U32"/>
    <mergeCell ref="B30:U30"/>
    <mergeCell ref="B17:U17"/>
    <mergeCell ref="B28:U28"/>
    <mergeCell ref="B24:U24"/>
    <mergeCell ref="B18:U18"/>
    <mergeCell ref="B19:U19"/>
    <mergeCell ref="B27:U27"/>
    <mergeCell ref="B20:U20"/>
    <mergeCell ref="B21:U21"/>
    <mergeCell ref="B22:U22"/>
    <mergeCell ref="B23:U23"/>
    <mergeCell ref="B25:U25"/>
    <mergeCell ref="P3:Q3"/>
    <mergeCell ref="P4:Q4"/>
    <mergeCell ref="O11:U11"/>
    <mergeCell ref="R3:T3"/>
    <mergeCell ref="B5:L5"/>
    <mergeCell ref="O6:U6"/>
    <mergeCell ref="O7:U7"/>
    <mergeCell ref="B2:L2"/>
    <mergeCell ref="B3:L3"/>
    <mergeCell ref="B11:L11"/>
    <mergeCell ref="B4:L4"/>
    <mergeCell ref="B12:L12"/>
    <mergeCell ref="B6:L10"/>
    <mergeCell ref="O13:W13"/>
    <mergeCell ref="O8:U8"/>
    <mergeCell ref="O9:U9"/>
    <mergeCell ref="O10:U10"/>
    <mergeCell ref="O12:U12"/>
    <mergeCell ref="C46:R46"/>
    <mergeCell ref="C47:R47"/>
    <mergeCell ref="C48:R48"/>
    <mergeCell ref="C49:R49"/>
    <mergeCell ref="C50:R50"/>
    <mergeCell ref="C51:R51"/>
    <mergeCell ref="C52:R52"/>
    <mergeCell ref="C53:R53"/>
    <mergeCell ref="C33:R33"/>
    <mergeCell ref="C34:R34"/>
    <mergeCell ref="C35:R35"/>
    <mergeCell ref="C36:R36"/>
    <mergeCell ref="C37:R37"/>
    <mergeCell ref="C38:R38"/>
    <mergeCell ref="C39:R39"/>
    <mergeCell ref="C40:R40"/>
    <mergeCell ref="C41:R41"/>
    <mergeCell ref="C42:R42"/>
    <mergeCell ref="C43:R43"/>
    <mergeCell ref="C44:R44"/>
    <mergeCell ref="C45:R45"/>
  </mergeCells>
  <hyperlinks>
    <hyperlink ref="C13" location="'Title Page'!A11" display="Title Page"/>
    <hyperlink ref="D13" location="GADCR!A3" display="GADCR"/>
    <hyperlink ref="E13" location="EPICS!A4" display="EPICS"/>
    <hyperlink ref="F13" location="'Action Items'!A2" display="Action Items"/>
    <hyperlink ref="G13" location="'Change Log'!A2" display="Change Log"/>
    <hyperlink ref="H13" location="'IS_Requirements Mapping'!A4" display="IS_Requirements Mapping"/>
    <hyperlink ref="I13" location="IS_Impacted_Systems_List!A4" display="IS_Impacted_Systems_List"/>
    <hyperlink ref="J13" location="'BRD Convert'!A2" display="BRD Convert"/>
    <hyperlink ref="K13" location="OBA!A1" display="OBA"/>
    <hyperlink ref="L13" location="'Reporting Questions'!A1" display="Reporting Questions"/>
    <hyperlink ref="B4" r:id="rId1" display="https://share.antheminc.com/sites/babw_discovery/BRM/Shared%20Discovery%20Resources/PROJECT%20NAME%20-%20BRD%20Initiation.xlsm"/>
    <hyperlink ref="B4:L4" r:id="rId2" display="Link to Most Recently Published Initiation Services BRD Template"/>
    <hyperlink ref="B22" r:id="rId3"/>
    <hyperlink ref="O7:U7" location="Critical_Guidelines_to_Follow_Title" display="1. Critical Guidelines to Follow"/>
    <hyperlink ref="O8:U8" location="Known_Issues_Title" display="2. Known Issues"/>
    <hyperlink ref="O9:U9" location="Release_Notes_Title" display="3. Release Notes"/>
    <hyperlink ref="O10:U10" location="JIRA_Formatting_Help" display="4. JIRA Formatting and Notation Help"/>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7116" r:id="rId7" name="Button 12">
              <controlPr defaultSize="0" print="0" autoFill="0" autoPict="0" macro="[0]!SendEmailToSupport">
                <anchor moveWithCells="1" sizeWithCells="1">
                  <from>
                    <xdr:col>17</xdr:col>
                    <xdr:colOff>9525</xdr:colOff>
                    <xdr:row>2</xdr:row>
                    <xdr:rowOff>47625</xdr:rowOff>
                  </from>
                  <to>
                    <xdr:col>19</xdr:col>
                    <xdr:colOff>342900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itlePageSheet">
    <tabColor theme="7" tint="0.39997558519241921"/>
  </sheetPr>
  <dimension ref="A1:D54"/>
  <sheetViews>
    <sheetView tabSelected="1" zoomScaleNormal="100" workbookViewId="0">
      <selection activeCell="A13" sqref="A13"/>
    </sheetView>
  </sheetViews>
  <sheetFormatPr defaultRowHeight="15" x14ac:dyDescent="0.25"/>
  <cols>
    <col min="1" max="1" width="47.140625" style="120" customWidth="1"/>
    <col min="2" max="2" width="63.5703125" style="120" customWidth="1"/>
    <col min="3" max="3" width="62.5703125" style="120" customWidth="1"/>
    <col min="4" max="4" width="14.5703125" style="120" customWidth="1"/>
    <col min="5" max="16384" width="9.140625" style="120"/>
  </cols>
  <sheetData>
    <row r="1" spans="1:4" ht="16.5" customHeight="1" x14ac:dyDescent="0.25">
      <c r="A1" s="89" t="s">
        <v>564</v>
      </c>
      <c r="B1" s="123"/>
      <c r="C1" s="242" t="s">
        <v>595</v>
      </c>
      <c r="D1" s="243"/>
    </row>
    <row r="2" spans="1:4" ht="16.5" customHeight="1" x14ac:dyDescent="0.25">
      <c r="A2" s="89" t="s">
        <v>644</v>
      </c>
      <c r="B2" s="124"/>
      <c r="C2" s="242"/>
      <c r="D2" s="243"/>
    </row>
    <row r="3" spans="1:4" ht="16.5" customHeight="1" x14ac:dyDescent="0.25">
      <c r="A3" s="89" t="s">
        <v>563</v>
      </c>
      <c r="B3" s="123"/>
      <c r="C3" s="242"/>
      <c r="D3" s="243"/>
    </row>
    <row r="4" spans="1:4" ht="16.5" customHeight="1" x14ac:dyDescent="0.25">
      <c r="A4" s="89" t="s">
        <v>569</v>
      </c>
      <c r="B4" s="125"/>
      <c r="C4" s="244"/>
      <c r="D4" s="245"/>
    </row>
    <row r="5" spans="1:4" ht="16.5" customHeight="1" x14ac:dyDescent="0.25">
      <c r="A5" s="89" t="s">
        <v>565</v>
      </c>
      <c r="B5" s="123"/>
      <c r="C5" s="246"/>
      <c r="D5" s="247"/>
    </row>
    <row r="6" spans="1:4" ht="16.5" customHeight="1" x14ac:dyDescent="0.25">
      <c r="A6" s="89" t="s">
        <v>566</v>
      </c>
      <c r="B6" s="123"/>
      <c r="C6" s="246"/>
      <c r="D6" s="247"/>
    </row>
    <row r="7" spans="1:4" ht="16.5" customHeight="1" x14ac:dyDescent="0.25">
      <c r="A7" s="90" t="s">
        <v>528</v>
      </c>
      <c r="B7" s="123" t="s">
        <v>664</v>
      </c>
      <c r="C7" s="246"/>
      <c r="D7" s="247"/>
    </row>
    <row r="8" spans="1:4" ht="41.25" customHeight="1" x14ac:dyDescent="0.25">
      <c r="A8" s="91" t="s">
        <v>450</v>
      </c>
      <c r="B8" s="207" t="s">
        <v>658</v>
      </c>
      <c r="C8" s="248" t="s">
        <v>562</v>
      </c>
      <c r="D8" s="249"/>
    </row>
    <row r="9" spans="1:4" ht="16.5" customHeight="1" x14ac:dyDescent="0.25">
      <c r="A9" s="90" t="s">
        <v>539</v>
      </c>
      <c r="B9" s="126" t="s">
        <v>657</v>
      </c>
      <c r="C9" s="254"/>
      <c r="D9" s="255"/>
    </row>
    <row r="10" spans="1:4" ht="16.5" customHeight="1" thickBot="1" x14ac:dyDescent="0.3">
      <c r="A10" s="92" t="s">
        <v>614</v>
      </c>
      <c r="B10" s="127"/>
      <c r="C10" s="250" t="str">
        <f>CONCATENATE("Initiation BRD Template ", About!$O$2)</f>
        <v>Initiation BRD Template Version: BETA 4.5</v>
      </c>
      <c r="D10" s="251"/>
    </row>
    <row r="11" spans="1:4" ht="97.5" customHeight="1" thickBot="1" x14ac:dyDescent="0.3">
      <c r="A11" s="236" t="s">
        <v>656</v>
      </c>
      <c r="B11" s="237"/>
      <c r="C11" s="252"/>
      <c r="D11" s="253"/>
    </row>
    <row r="12" spans="1:4" ht="18.75" x14ac:dyDescent="0.25">
      <c r="A12" s="87" t="s">
        <v>0</v>
      </c>
      <c r="B12" s="190" t="s">
        <v>659</v>
      </c>
    </row>
    <row r="13" spans="1:4" ht="180" x14ac:dyDescent="0.25">
      <c r="A13" s="88" t="s">
        <v>524</v>
      </c>
      <c r="B13" s="191" t="s">
        <v>741</v>
      </c>
    </row>
    <row r="14" spans="1:4" ht="19.5" thickBot="1" x14ac:dyDescent="0.3">
      <c r="A14" s="117"/>
      <c r="B14" s="63"/>
    </row>
    <row r="15" spans="1:4" ht="19.5" thickBot="1" x14ac:dyDescent="0.35">
      <c r="A15" s="238" t="s">
        <v>567</v>
      </c>
      <c r="B15" s="239"/>
    </row>
    <row r="16" spans="1:4" ht="18.75" x14ac:dyDescent="0.3">
      <c r="A16" s="118" t="s">
        <v>558</v>
      </c>
      <c r="B16" s="119">
        <f>B17+B18</f>
        <v>0</v>
      </c>
    </row>
    <row r="17" spans="1:4" ht="18.75" x14ac:dyDescent="0.3">
      <c r="A17" s="109" t="s">
        <v>77</v>
      </c>
      <c r="B17" s="107">
        <f>COUNTIF('Action Items'!$G$2:$G$1048576,"N")</f>
        <v>0</v>
      </c>
    </row>
    <row r="18" spans="1:4" ht="18.75" x14ac:dyDescent="0.3">
      <c r="A18" s="109" t="s">
        <v>76</v>
      </c>
      <c r="B18" s="107">
        <f>COUNTIF('Action Items'!$G$2:$G$1048576,"Y")</f>
        <v>0</v>
      </c>
    </row>
    <row r="19" spans="1:4" ht="18.75" x14ac:dyDescent="0.3">
      <c r="A19" s="109" t="s">
        <v>559</v>
      </c>
      <c r="B19" s="107">
        <f>COUNTIF(EPICS!$B$3:$B$1048576,"Capability")</f>
        <v>3</v>
      </c>
    </row>
    <row r="20" spans="1:4" ht="18.75" x14ac:dyDescent="0.3">
      <c r="A20" s="110" t="s">
        <v>111</v>
      </c>
      <c r="B20" s="107">
        <f>COUNTIF(EPICS!$B$3:$B$1048576,"Epic")</f>
        <v>12</v>
      </c>
    </row>
    <row r="21" spans="1:4" ht="18.75" x14ac:dyDescent="0.3">
      <c r="A21" s="111"/>
      <c r="B21" s="112"/>
    </row>
    <row r="22" spans="1:4" ht="18.75" x14ac:dyDescent="0.3">
      <c r="A22" s="111" t="s">
        <v>641</v>
      </c>
      <c r="B22" s="107">
        <f>COUNTA('Change Log'!$D$2:$D$1048576)</f>
        <v>0</v>
      </c>
    </row>
    <row r="23" spans="1:4" ht="18.75" x14ac:dyDescent="0.3">
      <c r="A23" s="109" t="s">
        <v>110</v>
      </c>
      <c r="B23" s="107">
        <f>COUNTIF(EPICS!$B$3:$B$1048576,"Story")</f>
        <v>0</v>
      </c>
    </row>
    <row r="24" spans="1:4" ht="18.75" x14ac:dyDescent="0.3">
      <c r="A24" s="189" t="s">
        <v>642</v>
      </c>
      <c r="B24" s="107">
        <f>COUNTA(IS_Impacted_Systems_List!$A$2:$A$1048576)</f>
        <v>2</v>
      </c>
    </row>
    <row r="25" spans="1:4" ht="19.5" thickBot="1" x14ac:dyDescent="0.35">
      <c r="A25" s="113" t="s">
        <v>560</v>
      </c>
      <c r="B25" s="108">
        <f>COUNTA('IS_Requirements Mapping'!$E$4:$E$1048576)</f>
        <v>3</v>
      </c>
    </row>
    <row r="26" spans="1:4" ht="19.5" thickBot="1" x14ac:dyDescent="0.35">
      <c r="A26" s="240" t="s">
        <v>82</v>
      </c>
      <c r="B26" s="241"/>
    </row>
    <row r="27" spans="1:4" ht="15.75" thickBot="1" x14ac:dyDescent="0.3">
      <c r="A27" s="85" t="s">
        <v>78</v>
      </c>
      <c r="B27" s="85" t="s">
        <v>2</v>
      </c>
      <c r="C27" s="85" t="s">
        <v>570</v>
      </c>
    </row>
    <row r="28" spans="1:4" x14ac:dyDescent="0.25">
      <c r="A28" s="128" t="s">
        <v>666</v>
      </c>
      <c r="B28" s="129" t="s">
        <v>707</v>
      </c>
      <c r="C28" s="130">
        <f>IF((ISBLANK($A28)),"",IF(COUNTIF(EPICS!$A$3:$A$1048576,CONCATENATE($A28,"*"))&gt;0,COUNTIF(EPICS!$A$3:$A$1048576,CONCATENATE($A28,"*"))-1,0))</f>
        <v>7</v>
      </c>
    </row>
    <row r="29" spans="1:4" x14ac:dyDescent="0.25">
      <c r="A29" s="128" t="s">
        <v>699</v>
      </c>
      <c r="B29" s="129" t="s">
        <v>737</v>
      </c>
      <c r="C29" s="131">
        <f>IF((ISBLANK($A29)),"",IF(COUNTIF(EPICS!$A$3:$A$1048576,CONCATENATE($A29,"*"))&gt;0,COUNTIF(EPICS!$A$3:$A$1048576,CONCATENATE($A29,"*"))-1,0))</f>
        <v>3</v>
      </c>
    </row>
    <row r="30" spans="1:4" x14ac:dyDescent="0.25">
      <c r="A30" s="33" t="s">
        <v>706</v>
      </c>
      <c r="B30" s="34" t="s">
        <v>670</v>
      </c>
      <c r="C30" s="131">
        <f>IF((ISBLANK($A30)),"",IF(COUNTIF(EPICS!$A$3:$A$1048576,CONCATENATE($A30,"*"))&gt;0,COUNTIF(EPICS!$A$3:$A$1048576,CONCATENATE($A30,"*"))-1,0))</f>
        <v>2</v>
      </c>
    </row>
    <row r="31" spans="1:4" ht="15.75" thickBot="1" x14ac:dyDescent="0.3">
      <c r="A31" s="33"/>
      <c r="B31" s="34"/>
      <c r="C31" s="132" t="str">
        <f>IF((ISBLANK($A31)),"",IF(COUNTIF(EPICS!$A$3:$A$1048576,CONCATENATE($A31,"*"))&gt;0,COUNTIF(EPICS!$A$3:$A$1048576,CONCATENATE($A31,"*"))-1,0))</f>
        <v/>
      </c>
    </row>
    <row r="32" spans="1:4" ht="15.75" thickBot="1" x14ac:dyDescent="0.3">
      <c r="A32" s="116" t="s">
        <v>1</v>
      </c>
      <c r="B32" s="116" t="s">
        <v>2</v>
      </c>
      <c r="C32" s="121"/>
      <c r="D32" s="121"/>
    </row>
    <row r="33" spans="1:4" ht="30" x14ac:dyDescent="0.25">
      <c r="A33" s="66" t="s">
        <v>682</v>
      </c>
      <c r="B33" s="67" t="s">
        <v>683</v>
      </c>
      <c r="C33" s="121"/>
      <c r="D33" s="121"/>
    </row>
    <row r="34" spans="1:4" ht="30" x14ac:dyDescent="0.25">
      <c r="A34" s="114" t="s">
        <v>660</v>
      </c>
      <c r="B34" s="115" t="s">
        <v>679</v>
      </c>
      <c r="C34" s="121"/>
      <c r="D34" s="121"/>
    </row>
    <row r="35" spans="1:4" x14ac:dyDescent="0.25">
      <c r="A35" s="210" t="s">
        <v>697</v>
      </c>
      <c r="B35" s="210" t="s">
        <v>698</v>
      </c>
    </row>
    <row r="36" spans="1:4" x14ac:dyDescent="0.25">
      <c r="A36" s="210"/>
      <c r="B36" s="210"/>
    </row>
    <row r="37" spans="1:4" x14ac:dyDescent="0.25">
      <c r="A37" s="64"/>
      <c r="B37" s="65"/>
    </row>
    <row r="38" spans="1:4" x14ac:dyDescent="0.25">
      <c r="A38" s="66"/>
      <c r="B38" s="67"/>
    </row>
    <row r="39" spans="1:4" x14ac:dyDescent="0.25">
      <c r="A39" s="66"/>
      <c r="B39" s="67"/>
    </row>
    <row r="40" spans="1:4" x14ac:dyDescent="0.25">
      <c r="A40" s="66"/>
      <c r="B40" s="67"/>
    </row>
    <row r="41" spans="1:4" x14ac:dyDescent="0.25">
      <c r="A41" s="60"/>
      <c r="B41" s="61"/>
    </row>
    <row r="42" spans="1:4" ht="15.75" thickBot="1" x14ac:dyDescent="0.3">
      <c r="A42" s="62"/>
      <c r="B42" s="63"/>
    </row>
    <row r="43" spans="1:4" ht="15.75" thickBot="1" x14ac:dyDescent="0.3">
      <c r="A43" s="86" t="s">
        <v>3</v>
      </c>
      <c r="B43" s="86" t="s">
        <v>4</v>
      </c>
      <c r="C43" s="86" t="s">
        <v>5</v>
      </c>
      <c r="D43" s="86" t="s">
        <v>6</v>
      </c>
    </row>
    <row r="44" spans="1:4" ht="120" x14ac:dyDescent="0.25">
      <c r="A44" s="133" t="s">
        <v>529</v>
      </c>
      <c r="B44" s="134" t="s">
        <v>534</v>
      </c>
      <c r="C44" s="194" t="s">
        <v>661</v>
      </c>
      <c r="D44" s="135"/>
    </row>
    <row r="45" spans="1:4" ht="105" x14ac:dyDescent="0.25">
      <c r="A45" s="136" t="s">
        <v>530</v>
      </c>
      <c r="B45" s="137" t="s">
        <v>537</v>
      </c>
      <c r="C45" s="195" t="s">
        <v>662</v>
      </c>
      <c r="D45" s="138"/>
    </row>
    <row r="46" spans="1:4" ht="75" x14ac:dyDescent="0.25">
      <c r="A46" s="139" t="s">
        <v>535</v>
      </c>
      <c r="B46" s="140" t="s">
        <v>630</v>
      </c>
      <c r="C46" s="195" t="s">
        <v>663</v>
      </c>
      <c r="D46" s="138"/>
    </row>
    <row r="47" spans="1:4" ht="60" x14ac:dyDescent="0.25">
      <c r="A47" s="139" t="s">
        <v>672</v>
      </c>
      <c r="B47" s="140" t="s">
        <v>671</v>
      </c>
      <c r="C47" s="195" t="s">
        <v>673</v>
      </c>
      <c r="D47" s="138"/>
    </row>
    <row r="48" spans="1:4" ht="60" x14ac:dyDescent="0.25">
      <c r="A48" s="139" t="s">
        <v>738</v>
      </c>
      <c r="B48" s="140" t="s">
        <v>739</v>
      </c>
      <c r="C48" s="195" t="s">
        <v>740</v>
      </c>
      <c r="D48" s="138"/>
    </row>
    <row r="49" spans="1:4" x14ac:dyDescent="0.25">
      <c r="A49" s="139"/>
      <c r="B49" s="164"/>
      <c r="C49" s="165"/>
      <c r="D49" s="138"/>
    </row>
    <row r="50" spans="1:4" x14ac:dyDescent="0.25">
      <c r="A50" s="163"/>
      <c r="B50" s="164"/>
      <c r="C50" s="165"/>
      <c r="D50" s="166"/>
    </row>
    <row r="51" spans="1:4" ht="15.75" thickBot="1" x14ac:dyDescent="0.3">
      <c r="A51" s="141"/>
      <c r="B51" s="142"/>
      <c r="C51" s="143"/>
      <c r="D51" s="144"/>
    </row>
    <row r="52" spans="1:4" x14ac:dyDescent="0.25">
      <c r="A52" s="122"/>
      <c r="B52" s="122"/>
    </row>
    <row r="53" spans="1:4" x14ac:dyDescent="0.25">
      <c r="A53" s="122"/>
      <c r="B53" s="122"/>
    </row>
    <row r="54" spans="1:4" x14ac:dyDescent="0.25">
      <c r="A54" s="122"/>
      <c r="B54" s="122"/>
    </row>
  </sheetData>
  <mergeCells count="12">
    <mergeCell ref="A11:B11"/>
    <mergeCell ref="A15:B15"/>
    <mergeCell ref="A26:B26"/>
    <mergeCell ref="C1:D3"/>
    <mergeCell ref="C4:D4"/>
    <mergeCell ref="C5:D5"/>
    <mergeCell ref="C6:D6"/>
    <mergeCell ref="C7:D7"/>
    <mergeCell ref="C8:D8"/>
    <mergeCell ref="C10:D10"/>
    <mergeCell ref="C11:D11"/>
    <mergeCell ref="C9:D9"/>
  </mergeCells>
  <conditionalFormatting sqref="C28:C29 A30:C31">
    <cfRule type="expression" dxfId="1" priority="4">
      <formula>AND(NOT(ISBLANK($A28)),$C28&gt;0)</formula>
    </cfRule>
  </conditionalFormatting>
  <conditionalFormatting sqref="A28:B29">
    <cfRule type="expression" dxfId="0" priority="1">
      <formula>AND(NOT(ISBLANK($A28)),$C28&gt;0)</formula>
    </cfRule>
  </conditionalFormatting>
  <hyperlinks>
    <hyperlink ref="C1:C3" r:id="rId1" display="How to Find the Initiative Issue Type's Information in JIRA by CWI Work ID or Wave ID "/>
    <hyperlink ref="C44" display="https://share.antheminc.com/sites/SEGov/Lists/Small%20Enhancement%20Request/DispForm.aspx?ID=48918&amp;Source=https%3A%2F%2Fshare%2Eantheminc%2Ecom%2Fsites%2FSEGov%2FLists%2FSmall%2520Enhancement%2520Request%2FInitiate%2520All%2520Project%2520Requests%2Easpx%"/>
    <hyperlink ref="C45" display="https://share.antheminc.com/sites/SEGov/Initiation%20Project%20Docs/Forms/AllItems.aspx?RootFolder=%2Fsites%2FSEGov%2FInitiation%20Project%20Docs%2FOne%20Anthem%2FStars%20and%20Risk%20Revenue%2FMedicare%20%2DSmart%2D%20Provider%20Finder&amp;FolderCTID=0x01200"/>
    <hyperlink ref="C46" r:id="rId2"/>
    <hyperlink ref="C47" r:id="rId3"/>
    <hyperlink ref="C48" r:id="rId4"/>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0" r:id="rId8" name="Button 10">
              <controlPr defaultSize="0" print="0" autoFill="0" autoPict="0" macro="[0]!JIRALoadCreation" altText="Create JIRA Imports">
                <anchor moveWithCells="1" sizeWithCells="1">
                  <from>
                    <xdr:col>2</xdr:col>
                    <xdr:colOff>19050</xdr:colOff>
                    <xdr:row>3</xdr:row>
                    <xdr:rowOff>9525</xdr:rowOff>
                  </from>
                  <to>
                    <xdr:col>2</xdr:col>
                    <xdr:colOff>2857500</xdr:colOff>
                    <xdr:row>5</xdr:row>
                    <xdr:rowOff>0</xdr:rowOff>
                  </to>
                </anchor>
              </controlPr>
            </control>
          </mc:Choice>
        </mc:AlternateContent>
        <mc:AlternateContent xmlns:mc="http://schemas.openxmlformats.org/markup-compatibility/2006">
          <mc:Choice Requires="x14">
            <control shapeId="40971" r:id="rId9" name="Button 11">
              <controlPr defaultSize="0" print="0" autoFill="0" autoPict="0" macro="[0]!StartBRDConversion">
                <anchor moveWithCells="1" sizeWithCells="1">
                  <from>
                    <xdr:col>2</xdr:col>
                    <xdr:colOff>19050</xdr:colOff>
                    <xdr:row>8</xdr:row>
                    <xdr:rowOff>0</xdr:rowOff>
                  </from>
                  <to>
                    <xdr:col>2</xdr:col>
                    <xdr:colOff>2857500</xdr:colOff>
                    <xdr:row>9</xdr:row>
                    <xdr:rowOff>190500</xdr:rowOff>
                  </to>
                </anchor>
              </controlPr>
            </control>
          </mc:Choice>
        </mc:AlternateContent>
        <mc:AlternateContent xmlns:mc="http://schemas.openxmlformats.org/markup-compatibility/2006">
          <mc:Choice Requires="x14">
            <control shapeId="40985" r:id="rId10" name="Button 25">
              <controlPr defaultSize="0" print="0" autoFill="0" autoPict="0" macro="[0]!AssignEPICSToCapabilities" altText="Link JIRA EPICs to JIRA Capabilities">
                <anchor moveWithCells="1" sizeWithCells="1">
                  <from>
                    <xdr:col>2</xdr:col>
                    <xdr:colOff>19050</xdr:colOff>
                    <xdr:row>5</xdr:row>
                    <xdr:rowOff>9525</xdr:rowOff>
                  </from>
                  <to>
                    <xdr:col>2</xdr:col>
                    <xdr:colOff>2857500</xdr:colOff>
                    <xdr:row>6</xdr:row>
                    <xdr:rowOff>0</xdr:rowOff>
                  </to>
                </anchor>
              </controlPr>
            </control>
          </mc:Choice>
        </mc:AlternateContent>
        <mc:AlternateContent xmlns:mc="http://schemas.openxmlformats.org/markup-compatibility/2006">
          <mc:Choice Requires="x14">
            <control shapeId="40986" r:id="rId11" name="Button 26">
              <controlPr defaultSize="0" print="0" autoFill="0" autoPict="0" macro="[0]!AssignStoriesToEpics" altText="Link JIRA Stories to JIRA EPICS">
                <anchor moveWithCells="1" sizeWithCells="1">
                  <from>
                    <xdr:col>2</xdr:col>
                    <xdr:colOff>19050</xdr:colOff>
                    <xdr:row>6</xdr:row>
                    <xdr:rowOff>9525</xdr:rowOff>
                  </from>
                  <to>
                    <xdr:col>2</xdr:col>
                    <xdr:colOff>2857500</xdr:colOff>
                    <xdr:row>7</xdr:row>
                    <xdr:rowOff>0</xdr:rowOff>
                  </to>
                </anchor>
              </controlPr>
            </control>
          </mc:Choice>
        </mc:AlternateContent>
        <mc:AlternateContent xmlns:mc="http://schemas.openxmlformats.org/markup-compatibility/2006">
          <mc:Choice Requires="x14">
            <control shapeId="40987" r:id="rId12" name="Button 27">
              <controlPr defaultSize="0" print="0" autoFill="0" autoPict="0" macro="[0]!CopyJIRAGADCRSheet">
                <anchor moveWithCells="1" sizeWithCells="1">
                  <from>
                    <xdr:col>2</xdr:col>
                    <xdr:colOff>2886075</xdr:colOff>
                    <xdr:row>3</xdr:row>
                    <xdr:rowOff>9525</xdr:rowOff>
                  </from>
                  <to>
                    <xdr:col>3</xdr:col>
                    <xdr:colOff>952500</xdr:colOff>
                    <xdr:row>4</xdr:row>
                    <xdr:rowOff>0</xdr:rowOff>
                  </to>
                </anchor>
              </controlPr>
            </control>
          </mc:Choice>
        </mc:AlternateContent>
        <mc:AlternateContent xmlns:mc="http://schemas.openxmlformats.org/markup-compatibility/2006">
          <mc:Choice Requires="x14">
            <control shapeId="40988" r:id="rId13" name="Button 28">
              <controlPr defaultSize="0" print="0" autoFill="0" autoPict="0" macro="[0]!CopyJIRACapSheet">
                <anchor moveWithCells="1" sizeWithCells="1">
                  <from>
                    <xdr:col>2</xdr:col>
                    <xdr:colOff>2886075</xdr:colOff>
                    <xdr:row>4</xdr:row>
                    <xdr:rowOff>9525</xdr:rowOff>
                  </from>
                  <to>
                    <xdr:col>3</xdr:col>
                    <xdr:colOff>952500</xdr:colOff>
                    <xdr:row>5</xdr:row>
                    <xdr:rowOff>0</xdr:rowOff>
                  </to>
                </anchor>
              </controlPr>
            </control>
          </mc:Choice>
        </mc:AlternateContent>
        <mc:AlternateContent xmlns:mc="http://schemas.openxmlformats.org/markup-compatibility/2006">
          <mc:Choice Requires="x14">
            <control shapeId="40989" r:id="rId14" name="Button 29">
              <controlPr defaultSize="0" print="0" autoFill="0" autoPict="0" macro="[0]!CopyJIRAEPICSheet">
                <anchor moveWithCells="1" sizeWithCells="1">
                  <from>
                    <xdr:col>2</xdr:col>
                    <xdr:colOff>2886075</xdr:colOff>
                    <xdr:row>5</xdr:row>
                    <xdr:rowOff>9525</xdr:rowOff>
                  </from>
                  <to>
                    <xdr:col>3</xdr:col>
                    <xdr:colOff>952500</xdr:colOff>
                    <xdr:row>6</xdr:row>
                    <xdr:rowOff>0</xdr:rowOff>
                  </to>
                </anchor>
              </controlPr>
            </control>
          </mc:Choice>
        </mc:AlternateContent>
        <mc:AlternateContent xmlns:mc="http://schemas.openxmlformats.org/markup-compatibility/2006">
          <mc:Choice Requires="x14">
            <control shapeId="40990" r:id="rId15" name="Button 30">
              <controlPr defaultSize="0" print="0" autoFill="0" autoPict="0" macro="[0]!CopyJIRAStorySheet">
                <anchor moveWithCells="1" sizeWithCells="1">
                  <from>
                    <xdr:col>2</xdr:col>
                    <xdr:colOff>2886075</xdr:colOff>
                    <xdr:row>6</xdr:row>
                    <xdr:rowOff>9525</xdr:rowOff>
                  </from>
                  <to>
                    <xdr:col>3</xdr:col>
                    <xdr:colOff>952500</xdr:colOff>
                    <xdr:row>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ADCRSheet">
    <tabColor theme="5" tint="0.39997558519241921"/>
  </sheetPr>
  <dimension ref="A1:K16"/>
  <sheetViews>
    <sheetView zoomScaleNormal="100" workbookViewId="0">
      <pane ySplit="1" topLeftCell="A2" activePane="bottomLeft" state="frozen"/>
      <selection pane="bottomLeft" activeCell="A5" sqref="A5"/>
    </sheetView>
  </sheetViews>
  <sheetFormatPr defaultRowHeight="15" x14ac:dyDescent="0.25"/>
  <cols>
    <col min="1" max="1" width="100" style="30" customWidth="1"/>
    <col min="2" max="2" width="18" style="31" customWidth="1"/>
    <col min="3" max="3" width="10.28515625" style="32" bestFit="1" customWidth="1"/>
    <col min="4" max="4" width="92.42578125" style="4" customWidth="1"/>
    <col min="5" max="16384" width="9.140625" style="4"/>
  </cols>
  <sheetData>
    <row r="1" spans="1:11" s="57" customFormat="1" ht="20.25" customHeight="1" thickBot="1" x14ac:dyDescent="0.3">
      <c r="A1" s="54"/>
      <c r="B1" s="55"/>
      <c r="C1" s="56"/>
    </row>
    <row r="2" spans="1:11" s="11" customFormat="1" x14ac:dyDescent="0.25">
      <c r="A2" s="145" t="s">
        <v>7</v>
      </c>
      <c r="B2" s="145" t="s">
        <v>106</v>
      </c>
      <c r="C2" s="145" t="s">
        <v>75</v>
      </c>
    </row>
    <row r="3" spans="1:11" s="11" customFormat="1" ht="105" x14ac:dyDescent="0.25">
      <c r="A3" s="68" t="s">
        <v>680</v>
      </c>
      <c r="B3" s="58"/>
      <c r="C3" s="59"/>
      <c r="D3" s="69"/>
    </row>
    <row r="4" spans="1:11" s="11" customFormat="1" ht="120" x14ac:dyDescent="0.25">
      <c r="A4" s="68" t="s">
        <v>674</v>
      </c>
      <c r="B4" s="58">
        <v>43508</v>
      </c>
      <c r="C4" s="59" t="s">
        <v>664</v>
      </c>
      <c r="D4" s="69"/>
    </row>
    <row r="5" spans="1:11" s="11" customFormat="1" ht="390" x14ac:dyDescent="0.25">
      <c r="A5" s="68" t="s">
        <v>665</v>
      </c>
      <c r="B5" s="58">
        <v>43508</v>
      </c>
      <c r="C5" s="59" t="s">
        <v>664</v>
      </c>
      <c r="D5" s="69"/>
    </row>
    <row r="6" spans="1:11" s="11" customFormat="1" x14ac:dyDescent="0.25">
      <c r="A6" s="145" t="s">
        <v>561</v>
      </c>
      <c r="B6" s="145" t="s">
        <v>106</v>
      </c>
      <c r="C6" s="145" t="s">
        <v>75</v>
      </c>
    </row>
    <row r="7" spans="1:11" x14ac:dyDescent="0.25">
      <c r="A7" s="59" t="s">
        <v>677</v>
      </c>
      <c r="B7" s="58"/>
      <c r="C7" s="59"/>
      <c r="D7" s="11"/>
    </row>
    <row r="8" spans="1:11" x14ac:dyDescent="0.25">
      <c r="A8" s="145" t="s">
        <v>533</v>
      </c>
      <c r="B8" s="145" t="s">
        <v>106</v>
      </c>
      <c r="C8" s="145" t="s">
        <v>75</v>
      </c>
      <c r="D8" s="11"/>
    </row>
    <row r="9" spans="1:11" x14ac:dyDescent="0.25">
      <c r="A9" s="59" t="s">
        <v>669</v>
      </c>
      <c r="B9" s="58"/>
      <c r="C9" s="59"/>
      <c r="D9" s="11"/>
      <c r="E9" s="11"/>
      <c r="F9" s="11"/>
      <c r="G9" s="11"/>
      <c r="H9" s="11"/>
      <c r="I9" s="11"/>
      <c r="J9" s="11"/>
      <c r="K9" s="11"/>
    </row>
    <row r="10" spans="1:11" s="11" customFormat="1" ht="30" x14ac:dyDescent="0.25">
      <c r="A10" s="59" t="s">
        <v>713</v>
      </c>
      <c r="B10" s="58">
        <v>43509</v>
      </c>
      <c r="C10" s="59" t="s">
        <v>664</v>
      </c>
    </row>
    <row r="11" spans="1:11" s="11" customFormat="1" x14ac:dyDescent="0.25">
      <c r="A11" s="59"/>
      <c r="B11" s="58">
        <v>43517</v>
      </c>
      <c r="C11" s="59" t="s">
        <v>664</v>
      </c>
    </row>
    <row r="12" spans="1:11" x14ac:dyDescent="0.25">
      <c r="A12" s="146" t="s">
        <v>29</v>
      </c>
      <c r="B12" s="145" t="s">
        <v>106</v>
      </c>
      <c r="C12" s="145" t="s">
        <v>75</v>
      </c>
    </row>
    <row r="13" spans="1:11" x14ac:dyDescent="0.25">
      <c r="A13" s="59" t="s">
        <v>712</v>
      </c>
      <c r="B13" s="58"/>
      <c r="C13" s="59"/>
    </row>
    <row r="14" spans="1:11" x14ac:dyDescent="0.25">
      <c r="A14" s="146" t="s">
        <v>107</v>
      </c>
      <c r="B14" s="145" t="s">
        <v>106</v>
      </c>
      <c r="C14" s="145" t="s">
        <v>75</v>
      </c>
    </row>
    <row r="15" spans="1:11" x14ac:dyDescent="0.25">
      <c r="A15" s="53" t="s">
        <v>668</v>
      </c>
      <c r="B15" s="58"/>
      <c r="C15" s="59"/>
    </row>
    <row r="16" spans="1:11" x14ac:dyDescent="0.25">
      <c r="A16" s="147" t="s">
        <v>525</v>
      </c>
      <c r="B16" s="145" t="s">
        <v>106</v>
      </c>
      <c r="C16" s="145" t="s">
        <v>75</v>
      </c>
    </row>
  </sheetData>
  <sheetProtection formatCells="0" insertRows="0" deleteRows="0" autoFilter="0"/>
  <customSheetViews>
    <customSheetView guid="{0FDF722F-6BE5-40CC-8643-96FA7475187B}">
      <pane ySplit="1" topLeftCell="A2" activePane="bottomLeft" state="frozen"/>
      <selection pane="bottomLeft" activeCell="A18" sqref="A18"/>
      <pageMargins left="0" right="0" top="0" bottom="0" header="0" footer="0"/>
      <pageSetup orientation="portrait" r:id="rId1"/>
    </customSheetView>
  </customSheetViews>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50" r:id="rId5" name="Button 6">
              <controlPr defaultSize="0" print="0" autoFill="0" autoPict="0" macro="[0]!AddGP">
                <anchor>
                  <from>
                    <xdr:col>0</xdr:col>
                    <xdr:colOff>9525</xdr:colOff>
                    <xdr:row>0</xdr:row>
                    <xdr:rowOff>0</xdr:rowOff>
                  </from>
                  <to>
                    <xdr:col>0</xdr:col>
                    <xdr:colOff>1200150</xdr:colOff>
                    <xdr:row>0</xdr:row>
                    <xdr:rowOff>200025</xdr:rowOff>
                  </to>
                </anchor>
              </controlPr>
            </control>
          </mc:Choice>
        </mc:AlternateContent>
        <mc:AlternateContent xmlns:mc="http://schemas.openxmlformats.org/markup-compatibility/2006">
          <mc:Choice Requires="x14">
            <control shapeId="6157" r:id="rId6" name="Button 13">
              <controlPr defaultSize="0" print="0" autoFill="0" autoPict="0" macro="[0]!AddAssumption" altText="Add Assumption">
                <anchor>
                  <from>
                    <xdr:col>0</xdr:col>
                    <xdr:colOff>1209675</xdr:colOff>
                    <xdr:row>0</xdr:row>
                    <xdr:rowOff>0</xdr:rowOff>
                  </from>
                  <to>
                    <xdr:col>0</xdr:col>
                    <xdr:colOff>2400300</xdr:colOff>
                    <xdr:row>0</xdr:row>
                    <xdr:rowOff>200025</xdr:rowOff>
                  </to>
                </anchor>
              </controlPr>
            </control>
          </mc:Choice>
        </mc:AlternateContent>
        <mc:AlternateContent xmlns:mc="http://schemas.openxmlformats.org/markup-compatibility/2006">
          <mc:Choice Requires="x14">
            <control shapeId="6159" r:id="rId7" name="Button 15">
              <controlPr defaultSize="0" print="0" autoFill="0" autoPict="0" macro="[0]!AddDependency">
                <anchor>
                  <from>
                    <xdr:col>0</xdr:col>
                    <xdr:colOff>2409825</xdr:colOff>
                    <xdr:row>0</xdr:row>
                    <xdr:rowOff>0</xdr:rowOff>
                  </from>
                  <to>
                    <xdr:col>0</xdr:col>
                    <xdr:colOff>3600450</xdr:colOff>
                    <xdr:row>0</xdr:row>
                    <xdr:rowOff>200025</xdr:rowOff>
                  </to>
                </anchor>
              </controlPr>
            </control>
          </mc:Choice>
        </mc:AlternateContent>
        <mc:AlternateContent xmlns:mc="http://schemas.openxmlformats.org/markup-compatibility/2006">
          <mc:Choice Requires="x14">
            <control shapeId="6160" r:id="rId8" name="Button 16">
              <controlPr defaultSize="0" print="0" autoFill="0" autoPict="0" macro="[0]!AddConstraint">
                <anchor>
                  <from>
                    <xdr:col>0</xdr:col>
                    <xdr:colOff>3609975</xdr:colOff>
                    <xdr:row>0</xdr:row>
                    <xdr:rowOff>0</xdr:rowOff>
                  </from>
                  <to>
                    <xdr:col>0</xdr:col>
                    <xdr:colOff>4800600</xdr:colOff>
                    <xdr:row>0</xdr:row>
                    <xdr:rowOff>200025</xdr:rowOff>
                  </to>
                </anchor>
              </controlPr>
            </control>
          </mc:Choice>
        </mc:AlternateContent>
        <mc:AlternateContent xmlns:mc="http://schemas.openxmlformats.org/markup-compatibility/2006">
          <mc:Choice Requires="x14">
            <control shapeId="6171" r:id="rId9" name="Button 27">
              <controlPr defaultSize="0" print="0" autoFill="0" autoPict="0" macro="[0]!MoveUpGADCRRow">
                <anchor>
                  <from>
                    <xdr:col>3</xdr:col>
                    <xdr:colOff>1362075</xdr:colOff>
                    <xdr:row>0</xdr:row>
                    <xdr:rowOff>0</xdr:rowOff>
                  </from>
                  <to>
                    <xdr:col>3</xdr:col>
                    <xdr:colOff>2552700</xdr:colOff>
                    <xdr:row>0</xdr:row>
                    <xdr:rowOff>200025</xdr:rowOff>
                  </to>
                </anchor>
              </controlPr>
            </control>
          </mc:Choice>
        </mc:AlternateContent>
        <mc:AlternateContent xmlns:mc="http://schemas.openxmlformats.org/markup-compatibility/2006">
          <mc:Choice Requires="x14">
            <control shapeId="6172" r:id="rId10" name="Button 28">
              <controlPr defaultSize="0" print="0" autoFill="0" autoPict="0" macro="[0]!MoveDownGADCRRow">
                <anchor>
                  <from>
                    <xdr:col>3</xdr:col>
                    <xdr:colOff>2562225</xdr:colOff>
                    <xdr:row>0</xdr:row>
                    <xdr:rowOff>0</xdr:rowOff>
                  </from>
                  <to>
                    <xdr:col>3</xdr:col>
                    <xdr:colOff>3752850</xdr:colOff>
                    <xdr:row>0</xdr:row>
                    <xdr:rowOff>200025</xdr:rowOff>
                  </to>
                </anchor>
              </controlPr>
            </control>
          </mc:Choice>
        </mc:AlternateContent>
        <mc:AlternateContent xmlns:mc="http://schemas.openxmlformats.org/markup-compatibility/2006">
          <mc:Choice Requires="x14">
            <control shapeId="6173" r:id="rId11" name="Button 29">
              <controlPr defaultSize="0" print="0" autoFill="0" autoPict="0" macro="[0]!AddDefinition" altText="Add Term/Definition">
                <anchor>
                  <from>
                    <xdr:col>0</xdr:col>
                    <xdr:colOff>6010275</xdr:colOff>
                    <xdr:row>0</xdr:row>
                    <xdr:rowOff>0</xdr:rowOff>
                  </from>
                  <to>
                    <xdr:col>1</xdr:col>
                    <xdr:colOff>533400</xdr:colOff>
                    <xdr:row>0</xdr:row>
                    <xdr:rowOff>200025</xdr:rowOff>
                  </to>
                </anchor>
              </controlPr>
            </control>
          </mc:Choice>
        </mc:AlternateContent>
        <mc:AlternateContent xmlns:mc="http://schemas.openxmlformats.org/markup-compatibility/2006">
          <mc:Choice Requires="x14">
            <control shapeId="6174" r:id="rId12" name="Button 30">
              <controlPr defaultSize="0" print="0" autoFill="0" autoPict="0" macro="[0]!AddRisk">
                <anchor>
                  <from>
                    <xdr:col>0</xdr:col>
                    <xdr:colOff>4810125</xdr:colOff>
                    <xdr:row>0</xdr:row>
                    <xdr:rowOff>0</xdr:rowOff>
                  </from>
                  <to>
                    <xdr:col>0</xdr:col>
                    <xdr:colOff>6000750</xdr:colOff>
                    <xdr:row>0</xdr:row>
                    <xdr:rowOff>200025</xdr:rowOff>
                  </to>
                </anchor>
              </controlPr>
            </control>
          </mc:Choice>
        </mc:AlternateContent>
        <mc:AlternateContent xmlns:mc="http://schemas.openxmlformats.org/markup-compatibility/2006">
          <mc:Choice Requires="x14">
            <control shapeId="6177" r:id="rId13" name="Button 33">
              <controlPr defaultSize="0" print="0" autoFill="0" autoPict="0" macro="[0]!RemoveSelectedGADCRRecord" altText="Remove Selected Row">
                <anchor>
                  <from>
                    <xdr:col>3</xdr:col>
                    <xdr:colOff>9525</xdr:colOff>
                    <xdr:row>0</xdr:row>
                    <xdr:rowOff>0</xdr:rowOff>
                  </from>
                  <to>
                    <xdr:col>3</xdr:col>
                    <xdr:colOff>1200150</xdr:colOff>
                    <xdr:row>0</xdr:row>
                    <xdr:rowOff>200025</xdr:rowOff>
                  </to>
                </anchor>
              </controlPr>
            </control>
          </mc:Choice>
        </mc:AlternateContent>
        <mc:AlternateContent xmlns:mc="http://schemas.openxmlformats.org/markup-compatibility/2006">
          <mc:Choice Requires="x14">
            <control shapeId="6178" r:id="rId14" name="Button 34">
              <controlPr defaultSize="0" print="0" autoFill="0" autoPict="0" macro="[0]!AddActionItem">
                <anchor>
                  <from>
                    <xdr:col>1</xdr:col>
                    <xdr:colOff>542925</xdr:colOff>
                    <xdr:row>0</xdr:row>
                    <xdr:rowOff>0</xdr:rowOff>
                  </from>
                  <to>
                    <xdr:col>2</xdr:col>
                    <xdr:colOff>533400</xdr:colOff>
                    <xdr:row>0</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lowsSheet">
    <tabColor theme="4" tint="0.59999389629810485"/>
  </sheetPr>
  <dimension ref="A1:A37"/>
  <sheetViews>
    <sheetView zoomScaleNormal="100" workbookViewId="0">
      <selection activeCell="A16" sqref="A16"/>
    </sheetView>
  </sheetViews>
  <sheetFormatPr defaultRowHeight="15" x14ac:dyDescent="0.25"/>
  <cols>
    <col min="1" max="1" width="44.140625" customWidth="1"/>
    <col min="2" max="2" width="35.5703125" customWidth="1"/>
    <col min="3" max="3" width="19.140625" customWidth="1"/>
    <col min="4" max="4" width="62.5703125" customWidth="1"/>
  </cols>
  <sheetData>
    <row r="1" spans="1:1" x14ac:dyDescent="0.25">
      <c r="A1" s="1" t="s">
        <v>8</v>
      </c>
    </row>
    <row r="2" spans="1:1" x14ac:dyDescent="0.25">
      <c r="A2" t="s">
        <v>9</v>
      </c>
    </row>
    <row r="3" spans="1:1" x14ac:dyDescent="0.25">
      <c r="A3" t="s">
        <v>10</v>
      </c>
    </row>
    <row r="4" spans="1:1" x14ac:dyDescent="0.25">
      <c r="A4" s="1" t="s">
        <v>11</v>
      </c>
    </row>
    <row r="5" spans="1:1" ht="15" customHeight="1" x14ac:dyDescent="0.25">
      <c r="A5" t="s">
        <v>9</v>
      </c>
    </row>
    <row r="6" spans="1:1" x14ac:dyDescent="0.25">
      <c r="A6" t="s">
        <v>10</v>
      </c>
    </row>
    <row r="8" spans="1:1" ht="31.5" x14ac:dyDescent="0.5">
      <c r="A8" s="3" t="s">
        <v>31</v>
      </c>
    </row>
    <row r="37" spans="1:1" ht="31.5" x14ac:dyDescent="0.5">
      <c r="A37" s="3" t="s">
        <v>32</v>
      </c>
    </row>
  </sheetData>
  <customSheetViews>
    <customSheetView guid="{0FDF722F-6BE5-40CC-8643-96FA7475187B}">
      <selection activeCell="F14" sqref="F14"/>
      <pageMargins left="0.7" right="0.7" top="0.75" bottom="0.75" header="0.3" footer="0.3"/>
      <pageSetup orientation="portrait" r:id="rId1"/>
    </customSheetView>
  </customSheetView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picsSheet">
    <tabColor theme="5" tint="0.39997558519241921"/>
  </sheetPr>
  <dimension ref="A1:L149"/>
  <sheetViews>
    <sheetView zoomScaleNormal="100" workbookViewId="0">
      <pane ySplit="3" topLeftCell="A4" activePane="bottomLeft" state="frozenSplit"/>
      <selection pane="bottomLeft" activeCell="D4" sqref="D4"/>
    </sheetView>
  </sheetViews>
  <sheetFormatPr defaultRowHeight="15" x14ac:dyDescent="0.25"/>
  <cols>
    <col min="1" max="1" width="14" style="49" customWidth="1"/>
    <col min="2" max="2" width="17.7109375" style="49" customWidth="1"/>
    <col min="3" max="3" width="22.28515625" style="49" customWidth="1"/>
    <col min="4" max="4" width="56.28515625" style="49" customWidth="1"/>
    <col min="5" max="5" width="45.42578125" style="50" customWidth="1"/>
    <col min="6" max="6" width="21.140625" style="49" customWidth="1"/>
    <col min="7" max="7" width="18.7109375" style="49" customWidth="1"/>
    <col min="8" max="8" width="15.7109375" style="49" customWidth="1"/>
    <col min="9" max="9" width="22.28515625" style="104" customWidth="1"/>
    <col min="10" max="10" width="42" style="47" customWidth="1"/>
    <col min="11" max="11" width="45.140625" style="47" customWidth="1"/>
    <col min="12" max="12" width="23.5703125" style="49" customWidth="1"/>
    <col min="13" max="16384" width="9.140625" style="47"/>
  </cols>
  <sheetData>
    <row r="1" spans="1:12" s="77" customFormat="1" ht="33" customHeight="1" thickBot="1" x14ac:dyDescent="0.3">
      <c r="A1" s="151"/>
      <c r="B1" s="106"/>
      <c r="C1" s="106"/>
      <c r="D1" s="106"/>
      <c r="E1" s="106"/>
      <c r="F1" s="106"/>
      <c r="G1" s="106"/>
      <c r="H1" s="106"/>
      <c r="I1" s="102"/>
      <c r="J1" s="102"/>
      <c r="K1" s="106"/>
      <c r="L1" s="106"/>
    </row>
    <row r="2" spans="1:12" s="150" customFormat="1" ht="21" customHeight="1" thickBot="1" x14ac:dyDescent="0.3">
      <c r="A2" s="256" t="s">
        <v>109</v>
      </c>
      <c r="B2" s="257"/>
      <c r="C2" s="257"/>
      <c r="D2" s="257"/>
      <c r="E2" s="257"/>
      <c r="F2" s="257"/>
      <c r="G2" s="257"/>
      <c r="H2" s="148"/>
      <c r="I2" s="149"/>
      <c r="J2" s="149"/>
      <c r="K2" s="149"/>
      <c r="L2" s="148"/>
    </row>
    <row r="3" spans="1:12" ht="103.5" customHeight="1" x14ac:dyDescent="0.25">
      <c r="A3" s="196" t="s">
        <v>522</v>
      </c>
      <c r="B3" s="197" t="s">
        <v>600</v>
      </c>
      <c r="C3" s="197" t="s">
        <v>555</v>
      </c>
      <c r="D3" s="198" t="s">
        <v>611</v>
      </c>
      <c r="E3" s="199" t="s">
        <v>541</v>
      </c>
      <c r="F3" s="198" t="s">
        <v>598</v>
      </c>
      <c r="G3" s="200" t="s">
        <v>542</v>
      </c>
      <c r="H3" s="198" t="s">
        <v>596</v>
      </c>
      <c r="I3" s="201" t="s">
        <v>575</v>
      </c>
      <c r="J3" s="201" t="s">
        <v>594</v>
      </c>
      <c r="K3" s="198" t="s">
        <v>556</v>
      </c>
      <c r="L3" s="200" t="s">
        <v>631</v>
      </c>
    </row>
    <row r="4" spans="1:12" ht="105" x14ac:dyDescent="0.25">
      <c r="A4" s="49" t="s">
        <v>666</v>
      </c>
      <c r="B4" s="49" t="s">
        <v>112</v>
      </c>
      <c r="C4" s="49" t="s">
        <v>707</v>
      </c>
      <c r="D4" s="49" t="s">
        <v>708</v>
      </c>
      <c r="E4" s="208" t="s">
        <v>667</v>
      </c>
      <c r="F4" s="49" t="s">
        <v>675</v>
      </c>
    </row>
    <row r="5" spans="1:12" ht="390" x14ac:dyDescent="0.25">
      <c r="A5" s="49" t="s">
        <v>725</v>
      </c>
      <c r="B5" s="49" t="s">
        <v>108</v>
      </c>
      <c r="C5" s="209" t="s">
        <v>687</v>
      </c>
      <c r="D5" s="209" t="s">
        <v>678</v>
      </c>
      <c r="E5" s="208" t="s">
        <v>681</v>
      </c>
      <c r="F5" s="49" t="s">
        <v>675</v>
      </c>
    </row>
    <row r="6" spans="1:12" ht="60" x14ac:dyDescent="0.25">
      <c r="A6" s="49" t="s">
        <v>726</v>
      </c>
      <c r="B6" s="49" t="s">
        <v>108</v>
      </c>
      <c r="C6" s="209" t="s">
        <v>676</v>
      </c>
      <c r="D6" s="209" t="s">
        <v>684</v>
      </c>
      <c r="E6" s="209" t="s">
        <v>685</v>
      </c>
      <c r="F6" s="49" t="s">
        <v>675</v>
      </c>
    </row>
    <row r="7" spans="1:12" ht="45" x14ac:dyDescent="0.25">
      <c r="A7" s="49" t="s">
        <v>727</v>
      </c>
      <c r="B7" s="49" t="s">
        <v>108</v>
      </c>
      <c r="C7" s="209" t="s">
        <v>691</v>
      </c>
      <c r="D7" s="209" t="s">
        <v>693</v>
      </c>
      <c r="E7" s="208" t="s">
        <v>690</v>
      </c>
      <c r="F7" s="49" t="s">
        <v>675</v>
      </c>
    </row>
    <row r="8" spans="1:12" ht="75" x14ac:dyDescent="0.25">
      <c r="A8" s="49" t="s">
        <v>728</v>
      </c>
      <c r="B8" s="49" t="s">
        <v>108</v>
      </c>
      <c r="C8" s="209" t="s">
        <v>692</v>
      </c>
      <c r="D8" s="209" t="s">
        <v>694</v>
      </c>
      <c r="E8" s="208"/>
      <c r="F8" s="49" t="s">
        <v>675</v>
      </c>
    </row>
    <row r="9" spans="1:12" ht="105" x14ac:dyDescent="0.25">
      <c r="A9" s="49" t="s">
        <v>729</v>
      </c>
      <c r="B9" s="49" t="s">
        <v>108</v>
      </c>
      <c r="C9" s="209" t="s">
        <v>686</v>
      </c>
      <c r="D9" s="209" t="s">
        <v>688</v>
      </c>
      <c r="E9" s="208" t="s">
        <v>689</v>
      </c>
      <c r="F9" s="49" t="s">
        <v>675</v>
      </c>
    </row>
    <row r="10" spans="1:12" ht="60" x14ac:dyDescent="0.25">
      <c r="A10" s="49" t="s">
        <v>730</v>
      </c>
      <c r="B10" s="49" t="s">
        <v>108</v>
      </c>
      <c r="C10" s="209" t="s">
        <v>722</v>
      </c>
      <c r="D10" s="209" t="s">
        <v>695</v>
      </c>
      <c r="E10" s="208" t="s">
        <v>690</v>
      </c>
      <c r="F10" s="49" t="s">
        <v>675</v>
      </c>
    </row>
    <row r="11" spans="1:12" ht="75" x14ac:dyDescent="0.25">
      <c r="A11" s="49" t="s">
        <v>731</v>
      </c>
      <c r="B11" s="49" t="s">
        <v>108</v>
      </c>
      <c r="C11" s="209" t="s">
        <v>723</v>
      </c>
      <c r="D11" s="209" t="s">
        <v>696</v>
      </c>
      <c r="E11" s="208"/>
      <c r="F11" s="49" t="s">
        <v>675</v>
      </c>
    </row>
    <row r="12" spans="1:12" ht="240" x14ac:dyDescent="0.25">
      <c r="A12" s="49" t="s">
        <v>699</v>
      </c>
      <c r="B12" s="49" t="s">
        <v>112</v>
      </c>
      <c r="C12" s="209" t="s">
        <v>700</v>
      </c>
      <c r="D12" s="209" t="s">
        <v>724</v>
      </c>
      <c r="E12" s="208"/>
    </row>
    <row r="13" spans="1:12" ht="390" x14ac:dyDescent="0.25">
      <c r="A13" s="49" t="s">
        <v>732</v>
      </c>
      <c r="B13" s="49" t="s">
        <v>108</v>
      </c>
      <c r="C13" s="209" t="s">
        <v>701</v>
      </c>
      <c r="D13" s="209" t="s">
        <v>716</v>
      </c>
      <c r="E13" s="208" t="s">
        <v>717</v>
      </c>
      <c r="F13" s="49" t="s">
        <v>675</v>
      </c>
    </row>
    <row r="14" spans="1:12" ht="60" x14ac:dyDescent="0.25">
      <c r="A14" s="49" t="s">
        <v>733</v>
      </c>
      <c r="B14" s="49" t="s">
        <v>108</v>
      </c>
      <c r="C14" s="209" t="s">
        <v>702</v>
      </c>
      <c r="D14" s="209" t="s">
        <v>703</v>
      </c>
      <c r="E14" s="208" t="s">
        <v>690</v>
      </c>
      <c r="F14" s="49" t="s">
        <v>675</v>
      </c>
    </row>
    <row r="15" spans="1:12" ht="90" x14ac:dyDescent="0.25">
      <c r="A15" s="49" t="s">
        <v>734</v>
      </c>
      <c r="B15" s="49" t="s">
        <v>108</v>
      </c>
      <c r="C15" s="209" t="s">
        <v>704</v>
      </c>
      <c r="D15" s="209" t="s">
        <v>705</v>
      </c>
      <c r="E15" s="208"/>
      <c r="F15" s="49" t="s">
        <v>675</v>
      </c>
    </row>
    <row r="16" spans="1:12" ht="75" x14ac:dyDescent="0.25">
      <c r="A16" s="49" t="s">
        <v>706</v>
      </c>
      <c r="B16" s="49" t="s">
        <v>112</v>
      </c>
      <c r="C16" s="209" t="s">
        <v>670</v>
      </c>
      <c r="D16" s="49" t="s">
        <v>720</v>
      </c>
      <c r="E16" s="208"/>
    </row>
    <row r="17" spans="1:12" ht="300" x14ac:dyDescent="0.25">
      <c r="A17" s="49" t="s">
        <v>735</v>
      </c>
      <c r="B17" s="49" t="s">
        <v>108</v>
      </c>
      <c r="C17" s="209" t="s">
        <v>709</v>
      </c>
      <c r="D17" s="209" t="s">
        <v>719</v>
      </c>
      <c r="E17" s="209" t="s">
        <v>718</v>
      </c>
      <c r="F17" s="49" t="s">
        <v>675</v>
      </c>
      <c r="G17" s="47"/>
      <c r="H17" s="47"/>
      <c r="I17" s="47"/>
      <c r="L17" s="47"/>
    </row>
    <row r="18" spans="1:12" ht="210" x14ac:dyDescent="0.25">
      <c r="A18" s="49" t="s">
        <v>736</v>
      </c>
      <c r="B18" s="49" t="s">
        <v>108</v>
      </c>
      <c r="C18" s="49" t="s">
        <v>710</v>
      </c>
      <c r="D18" s="209" t="s">
        <v>721</v>
      </c>
      <c r="E18" s="208" t="s">
        <v>711</v>
      </c>
      <c r="F18" s="49" t="s">
        <v>675</v>
      </c>
      <c r="G18" s="47"/>
      <c r="H18" s="47"/>
      <c r="I18" s="47"/>
      <c r="L18" s="47"/>
    </row>
    <row r="19" spans="1:12" x14ac:dyDescent="0.25">
      <c r="G19" s="47"/>
      <c r="H19" s="47"/>
      <c r="I19" s="47"/>
      <c r="L19" s="47"/>
    </row>
    <row r="20" spans="1:12" x14ac:dyDescent="0.25">
      <c r="E20" s="208"/>
      <c r="G20" s="47"/>
      <c r="H20" s="47"/>
      <c r="I20" s="47"/>
      <c r="L20" s="47"/>
    </row>
    <row r="21" spans="1:12" x14ac:dyDescent="0.25">
      <c r="C21" s="209"/>
      <c r="D21" s="209"/>
      <c r="E21" s="208"/>
      <c r="G21" s="47"/>
      <c r="H21" s="47"/>
      <c r="I21" s="47"/>
      <c r="L21" s="47"/>
    </row>
    <row r="22" spans="1:12" x14ac:dyDescent="0.25">
      <c r="C22" s="209"/>
      <c r="D22" s="209"/>
      <c r="E22" s="208"/>
      <c r="G22" s="47"/>
      <c r="H22" s="47"/>
      <c r="I22" s="47"/>
      <c r="L22" s="47"/>
    </row>
    <row r="23" spans="1:12" x14ac:dyDescent="0.25">
      <c r="C23" s="209"/>
      <c r="D23" s="209"/>
      <c r="E23" s="208"/>
      <c r="G23" s="47"/>
      <c r="H23" s="47"/>
      <c r="I23" s="47"/>
      <c r="L23" s="47"/>
    </row>
    <row r="24" spans="1:12" x14ac:dyDescent="0.25">
      <c r="C24" s="209"/>
      <c r="D24" s="209"/>
      <c r="E24" s="208"/>
      <c r="G24" s="47"/>
      <c r="H24" s="47"/>
      <c r="I24" s="47"/>
      <c r="L24" s="47"/>
    </row>
    <row r="25" spans="1:12" x14ac:dyDescent="0.25">
      <c r="C25" s="209"/>
      <c r="D25" s="209"/>
      <c r="E25" s="208"/>
      <c r="G25" s="47"/>
      <c r="H25" s="47"/>
      <c r="I25" s="47"/>
      <c r="L25" s="47"/>
    </row>
    <row r="26" spans="1:12" x14ac:dyDescent="0.25">
      <c r="C26" s="209"/>
      <c r="D26" s="209"/>
      <c r="E26" s="208"/>
      <c r="G26" s="47"/>
      <c r="H26" s="47"/>
      <c r="I26" s="47"/>
      <c r="L26" s="47"/>
    </row>
    <row r="27" spans="1:12" x14ac:dyDescent="0.25">
      <c r="C27" s="209"/>
      <c r="D27" s="209"/>
      <c r="E27" s="208"/>
      <c r="G27" s="47"/>
      <c r="H27" s="47"/>
      <c r="I27" s="47"/>
      <c r="L27" s="47"/>
    </row>
    <row r="28" spans="1:12" x14ac:dyDescent="0.25">
      <c r="C28" s="209"/>
      <c r="D28" s="209"/>
      <c r="E28" s="208"/>
      <c r="G28" s="47"/>
      <c r="H28" s="47"/>
      <c r="I28" s="47"/>
      <c r="L28" s="47"/>
    </row>
    <row r="29" spans="1:12" x14ac:dyDescent="0.25">
      <c r="E29" s="208"/>
      <c r="G29" s="47"/>
      <c r="H29" s="47"/>
      <c r="I29" s="47"/>
      <c r="L29" s="47"/>
    </row>
    <row r="30" spans="1:12" x14ac:dyDescent="0.25">
      <c r="E30" s="208"/>
      <c r="G30" s="47"/>
      <c r="H30" s="47"/>
      <c r="I30" s="47"/>
      <c r="L30" s="47"/>
    </row>
    <row r="31" spans="1:12" x14ac:dyDescent="0.25">
      <c r="E31" s="208"/>
      <c r="G31" s="47"/>
      <c r="H31" s="47"/>
      <c r="I31" s="47"/>
      <c r="L31" s="47"/>
    </row>
    <row r="32" spans="1:12" x14ac:dyDescent="0.25">
      <c r="E32" s="208"/>
      <c r="G32" s="47"/>
      <c r="H32" s="47"/>
      <c r="I32" s="47"/>
      <c r="L32" s="47"/>
    </row>
    <row r="33" spans="1:12" x14ac:dyDescent="0.25">
      <c r="E33" s="208"/>
    </row>
    <row r="34" spans="1:12" x14ac:dyDescent="0.25">
      <c r="E34" s="208"/>
    </row>
    <row r="35" spans="1:12" x14ac:dyDescent="0.25">
      <c r="E35" s="208"/>
    </row>
    <row r="36" spans="1:12" x14ac:dyDescent="0.25">
      <c r="E36" s="208"/>
    </row>
    <row r="37" spans="1:12" x14ac:dyDescent="0.25">
      <c r="E37" s="208"/>
    </row>
    <row r="38" spans="1:12" x14ac:dyDescent="0.25">
      <c r="E38" s="208"/>
    </row>
    <row r="39" spans="1:12" x14ac:dyDescent="0.25">
      <c r="E39" s="208"/>
    </row>
    <row r="40" spans="1:12" x14ac:dyDescent="0.25">
      <c r="E40" s="208"/>
    </row>
    <row r="41" spans="1:12" x14ac:dyDescent="0.25">
      <c r="E41" s="208"/>
    </row>
    <row r="42" spans="1:12" x14ac:dyDescent="0.25">
      <c r="E42" s="208"/>
    </row>
    <row r="43" spans="1:12" x14ac:dyDescent="0.25">
      <c r="E43" s="208"/>
    </row>
    <row r="44" spans="1:12" x14ac:dyDescent="0.25">
      <c r="E44" s="208"/>
    </row>
    <row r="45" spans="1:12" x14ac:dyDescent="0.25">
      <c r="E45" s="208"/>
    </row>
    <row r="46" spans="1:12" s="205" customFormat="1" x14ac:dyDescent="0.25">
      <c r="A46" s="202"/>
      <c r="B46" s="202"/>
      <c r="C46" s="202"/>
      <c r="D46" s="202"/>
      <c r="E46" s="206"/>
      <c r="F46" s="202"/>
      <c r="G46" s="202"/>
      <c r="H46" s="202"/>
      <c r="I46" s="204"/>
      <c r="L46" s="202"/>
    </row>
    <row r="47" spans="1:12" s="205" customFormat="1" x14ac:dyDescent="0.25">
      <c r="A47" s="202"/>
      <c r="B47" s="202"/>
      <c r="C47" s="202"/>
      <c r="D47" s="202"/>
      <c r="E47" s="206"/>
      <c r="F47" s="202"/>
      <c r="G47" s="202"/>
      <c r="H47" s="202"/>
      <c r="I47" s="204"/>
      <c r="L47" s="202"/>
    </row>
    <row r="48" spans="1:12" s="205" customFormat="1" x14ac:dyDescent="0.25">
      <c r="A48" s="202"/>
      <c r="B48" s="202"/>
      <c r="C48" s="202"/>
      <c r="D48" s="202"/>
      <c r="E48" s="206"/>
      <c r="F48" s="202"/>
      <c r="G48" s="202"/>
      <c r="H48" s="202"/>
      <c r="I48" s="204"/>
      <c r="L48" s="202"/>
    </row>
    <row r="49" spans="1:12" s="205" customFormat="1" x14ac:dyDescent="0.25">
      <c r="A49" s="202"/>
      <c r="B49" s="202"/>
      <c r="C49" s="202"/>
      <c r="D49" s="202"/>
      <c r="E49" s="206"/>
      <c r="F49" s="202"/>
      <c r="G49" s="202"/>
      <c r="H49" s="202"/>
      <c r="I49" s="204"/>
      <c r="L49" s="202"/>
    </row>
    <row r="50" spans="1:12" s="205" customFormat="1" x14ac:dyDescent="0.25">
      <c r="A50" s="202"/>
      <c r="B50" s="202"/>
      <c r="C50" s="202"/>
      <c r="D50" s="202"/>
      <c r="E50" s="206"/>
      <c r="F50" s="202"/>
      <c r="G50" s="202"/>
      <c r="H50" s="202"/>
      <c r="I50" s="204"/>
      <c r="L50" s="202"/>
    </row>
    <row r="51" spans="1:12" s="205" customFormat="1" x14ac:dyDescent="0.25">
      <c r="A51" s="202"/>
      <c r="B51" s="202"/>
      <c r="C51" s="202"/>
      <c r="D51" s="202"/>
      <c r="E51" s="206"/>
      <c r="F51" s="202"/>
      <c r="G51" s="202"/>
      <c r="H51" s="202"/>
      <c r="I51" s="204"/>
      <c r="L51" s="202"/>
    </row>
    <row r="52" spans="1:12" s="205" customFormat="1" x14ac:dyDescent="0.25">
      <c r="A52" s="202"/>
      <c r="B52" s="202"/>
      <c r="C52" s="202"/>
      <c r="D52" s="202"/>
      <c r="E52" s="206"/>
      <c r="F52" s="202"/>
      <c r="G52" s="202"/>
      <c r="H52" s="202"/>
      <c r="I52" s="204"/>
      <c r="L52" s="202"/>
    </row>
    <row r="53" spans="1:12" s="205" customFormat="1" x14ac:dyDescent="0.25">
      <c r="A53" s="202"/>
      <c r="B53" s="202"/>
      <c r="C53" s="202"/>
      <c r="D53" s="202"/>
      <c r="E53" s="206"/>
      <c r="F53" s="202"/>
      <c r="G53" s="202"/>
      <c r="H53" s="202"/>
      <c r="I53" s="204"/>
      <c r="L53" s="202"/>
    </row>
    <row r="54" spans="1:12" s="205" customFormat="1" x14ac:dyDescent="0.25">
      <c r="A54" s="202"/>
      <c r="B54" s="202"/>
      <c r="C54" s="202"/>
      <c r="D54" s="202"/>
      <c r="E54" s="206"/>
      <c r="F54" s="202"/>
      <c r="G54" s="202"/>
      <c r="H54" s="202"/>
      <c r="I54" s="204"/>
      <c r="L54" s="202"/>
    </row>
    <row r="55" spans="1:12" s="205" customFormat="1" x14ac:dyDescent="0.25">
      <c r="A55" s="202"/>
      <c r="B55" s="202"/>
      <c r="C55" s="202"/>
      <c r="D55" s="202"/>
      <c r="E55" s="206"/>
      <c r="F55" s="202"/>
      <c r="G55" s="202"/>
      <c r="H55" s="202"/>
      <c r="I55" s="204"/>
      <c r="L55" s="202"/>
    </row>
    <row r="56" spans="1:12" s="205" customFormat="1" x14ac:dyDescent="0.25">
      <c r="A56" s="202"/>
      <c r="B56" s="202"/>
      <c r="C56" s="202"/>
      <c r="D56" s="202"/>
      <c r="E56" s="206"/>
      <c r="F56" s="202"/>
      <c r="G56" s="202"/>
      <c r="H56" s="202"/>
      <c r="I56" s="204"/>
      <c r="L56" s="202"/>
    </row>
    <row r="57" spans="1:12" s="205" customFormat="1" x14ac:dyDescent="0.25">
      <c r="A57" s="202"/>
      <c r="B57" s="202"/>
      <c r="C57" s="202"/>
      <c r="D57" s="202"/>
      <c r="E57" s="206"/>
      <c r="F57" s="202"/>
      <c r="G57" s="202"/>
      <c r="H57" s="202"/>
      <c r="I57" s="204"/>
      <c r="L57" s="202"/>
    </row>
    <row r="58" spans="1:12" s="205" customFormat="1" x14ac:dyDescent="0.25">
      <c r="A58" s="202"/>
      <c r="B58" s="202"/>
      <c r="C58" s="202"/>
      <c r="D58" s="202"/>
      <c r="E58" s="206"/>
      <c r="F58" s="202"/>
      <c r="G58" s="202"/>
      <c r="H58" s="202"/>
      <c r="I58" s="204"/>
      <c r="L58" s="202"/>
    </row>
    <row r="59" spans="1:12" s="205" customFormat="1" x14ac:dyDescent="0.25">
      <c r="A59" s="202"/>
      <c r="B59" s="202"/>
      <c r="C59" s="202"/>
      <c r="D59" s="202"/>
      <c r="E59" s="206"/>
      <c r="F59" s="202"/>
      <c r="G59" s="202"/>
      <c r="H59" s="202"/>
      <c r="I59" s="204"/>
      <c r="L59" s="202"/>
    </row>
    <row r="60" spans="1:12" s="205" customFormat="1" x14ac:dyDescent="0.25">
      <c r="A60" s="202"/>
      <c r="B60" s="202"/>
      <c r="C60" s="202"/>
      <c r="D60" s="202"/>
      <c r="E60" s="206"/>
      <c r="F60" s="202"/>
      <c r="G60" s="202"/>
      <c r="H60" s="202"/>
      <c r="I60" s="204"/>
      <c r="L60" s="202"/>
    </row>
    <row r="61" spans="1:12" s="205" customFormat="1" x14ac:dyDescent="0.25">
      <c r="A61" s="202"/>
      <c r="B61" s="202"/>
      <c r="C61" s="202"/>
      <c r="D61" s="202"/>
      <c r="E61" s="206"/>
      <c r="F61" s="202"/>
      <c r="G61" s="202"/>
      <c r="H61" s="202"/>
      <c r="I61" s="204"/>
      <c r="L61" s="202"/>
    </row>
    <row r="62" spans="1:12" s="205" customFormat="1" x14ac:dyDescent="0.25">
      <c r="A62" s="202"/>
      <c r="B62" s="202"/>
      <c r="C62" s="202"/>
      <c r="D62" s="202"/>
      <c r="E62" s="206"/>
      <c r="F62" s="202"/>
      <c r="G62" s="202"/>
      <c r="H62" s="202"/>
      <c r="I62" s="204"/>
      <c r="L62" s="202"/>
    </row>
    <row r="63" spans="1:12" s="205" customFormat="1" x14ac:dyDescent="0.25">
      <c r="A63" s="202"/>
      <c r="B63" s="202"/>
      <c r="C63" s="202"/>
      <c r="D63" s="202"/>
      <c r="E63" s="206"/>
      <c r="F63" s="202"/>
      <c r="G63" s="202"/>
      <c r="H63" s="202"/>
      <c r="I63" s="204"/>
      <c r="L63" s="202"/>
    </row>
    <row r="64" spans="1:12" s="205" customFormat="1" x14ac:dyDescent="0.25">
      <c r="A64" s="202"/>
      <c r="B64" s="202"/>
      <c r="C64" s="202"/>
      <c r="D64" s="202"/>
      <c r="E64" s="206"/>
      <c r="F64" s="202"/>
      <c r="G64" s="202"/>
      <c r="H64" s="202"/>
      <c r="I64" s="204"/>
      <c r="L64" s="202"/>
    </row>
    <row r="65" spans="1:12" s="205" customFormat="1" x14ac:dyDescent="0.25">
      <c r="A65" s="202"/>
      <c r="B65" s="202"/>
      <c r="C65" s="202"/>
      <c r="D65" s="202"/>
      <c r="E65" s="206"/>
      <c r="F65" s="202"/>
      <c r="G65" s="202"/>
      <c r="H65" s="202"/>
      <c r="I65" s="204"/>
      <c r="L65" s="202"/>
    </row>
    <row r="66" spans="1:12" s="205" customFormat="1" x14ac:dyDescent="0.25">
      <c r="A66" s="202"/>
      <c r="B66" s="202"/>
      <c r="C66" s="202"/>
      <c r="D66" s="202"/>
      <c r="E66" s="206"/>
      <c r="F66" s="202"/>
      <c r="G66" s="202"/>
      <c r="H66" s="202"/>
      <c r="I66" s="204"/>
      <c r="L66" s="202"/>
    </row>
    <row r="67" spans="1:12" s="205" customFormat="1" x14ac:dyDescent="0.25">
      <c r="A67" s="202"/>
      <c r="B67" s="202"/>
      <c r="C67" s="202"/>
      <c r="D67" s="202"/>
      <c r="E67" s="206"/>
      <c r="F67" s="202"/>
      <c r="G67" s="202"/>
      <c r="H67" s="202"/>
      <c r="I67" s="204"/>
      <c r="L67" s="202"/>
    </row>
    <row r="68" spans="1:12" s="205" customFormat="1" x14ac:dyDescent="0.25">
      <c r="A68" s="202"/>
      <c r="B68" s="202"/>
      <c r="C68" s="202"/>
      <c r="D68" s="202"/>
      <c r="E68" s="206"/>
      <c r="F68" s="202"/>
      <c r="G68" s="202"/>
      <c r="H68" s="202"/>
      <c r="I68" s="204"/>
      <c r="L68" s="202"/>
    </row>
    <row r="69" spans="1:12" s="205" customFormat="1" x14ac:dyDescent="0.25">
      <c r="A69" s="202"/>
      <c r="B69" s="202"/>
      <c r="C69" s="202"/>
      <c r="D69" s="202"/>
      <c r="E69" s="206"/>
      <c r="F69" s="202"/>
      <c r="G69" s="202"/>
      <c r="H69" s="202"/>
      <c r="I69" s="204"/>
      <c r="L69" s="202"/>
    </row>
    <row r="70" spans="1:12" s="205" customFormat="1" x14ac:dyDescent="0.25">
      <c r="A70" s="202"/>
      <c r="B70" s="202"/>
      <c r="C70" s="202"/>
      <c r="D70" s="202"/>
      <c r="E70" s="206"/>
      <c r="F70" s="202"/>
      <c r="G70" s="202"/>
      <c r="H70" s="202"/>
      <c r="I70" s="204"/>
      <c r="L70" s="202"/>
    </row>
    <row r="71" spans="1:12" s="205" customFormat="1" x14ac:dyDescent="0.25">
      <c r="A71" s="202"/>
      <c r="B71" s="202"/>
      <c r="C71" s="202"/>
      <c r="D71" s="202"/>
      <c r="E71" s="206"/>
      <c r="F71" s="202"/>
      <c r="G71" s="202"/>
      <c r="H71" s="202"/>
      <c r="I71" s="204"/>
      <c r="L71" s="202"/>
    </row>
    <row r="72" spans="1:12" s="205" customFormat="1" x14ac:dyDescent="0.25">
      <c r="A72" s="202"/>
      <c r="B72" s="202"/>
      <c r="C72" s="202"/>
      <c r="D72" s="202"/>
      <c r="E72" s="206"/>
      <c r="F72" s="202"/>
      <c r="G72" s="202"/>
      <c r="H72" s="202"/>
      <c r="I72" s="204"/>
      <c r="L72" s="202"/>
    </row>
    <row r="73" spans="1:12" s="205" customFormat="1" x14ac:dyDescent="0.25">
      <c r="A73" s="202"/>
      <c r="B73" s="202"/>
      <c r="C73" s="202"/>
      <c r="D73" s="202"/>
      <c r="E73" s="206"/>
      <c r="F73" s="202"/>
      <c r="G73" s="202"/>
      <c r="H73" s="202"/>
      <c r="I73" s="204"/>
      <c r="L73" s="202"/>
    </row>
    <row r="74" spans="1:12" s="205" customFormat="1" x14ac:dyDescent="0.25">
      <c r="A74" s="202"/>
      <c r="B74" s="202"/>
      <c r="C74" s="202"/>
      <c r="D74" s="202"/>
      <c r="E74" s="206"/>
      <c r="F74" s="202"/>
      <c r="G74" s="202"/>
      <c r="H74" s="202"/>
      <c r="I74" s="204"/>
      <c r="L74" s="202"/>
    </row>
    <row r="75" spans="1:12" s="205" customFormat="1" x14ac:dyDescent="0.25">
      <c r="A75" s="202"/>
      <c r="B75" s="202"/>
      <c r="C75" s="202"/>
      <c r="D75" s="202"/>
      <c r="E75" s="206"/>
      <c r="F75" s="202"/>
      <c r="G75" s="202"/>
      <c r="H75" s="202"/>
      <c r="I75" s="204"/>
      <c r="L75" s="202"/>
    </row>
    <row r="76" spans="1:12" s="205" customFormat="1" x14ac:dyDescent="0.25">
      <c r="A76" s="202"/>
      <c r="B76" s="202"/>
      <c r="C76" s="202"/>
      <c r="D76" s="202"/>
      <c r="E76" s="206"/>
      <c r="F76" s="202"/>
      <c r="G76" s="202"/>
      <c r="H76" s="202"/>
      <c r="I76" s="204"/>
      <c r="L76" s="202"/>
    </row>
    <row r="77" spans="1:12" s="205" customFormat="1" x14ac:dyDescent="0.25">
      <c r="A77" s="202"/>
      <c r="B77" s="202"/>
      <c r="C77" s="202"/>
      <c r="D77" s="202"/>
      <c r="E77" s="206"/>
      <c r="F77" s="202"/>
      <c r="G77" s="202"/>
      <c r="H77" s="202"/>
      <c r="I77" s="204"/>
      <c r="L77" s="202"/>
    </row>
    <row r="78" spans="1:12" s="205" customFormat="1" x14ac:dyDescent="0.25">
      <c r="A78" s="202"/>
      <c r="B78" s="202"/>
      <c r="C78" s="202"/>
      <c r="D78" s="202"/>
      <c r="E78" s="206"/>
      <c r="F78" s="202"/>
      <c r="G78" s="202"/>
      <c r="H78" s="202"/>
      <c r="I78" s="204"/>
      <c r="L78" s="202"/>
    </row>
    <row r="79" spans="1:12" s="205" customFormat="1" x14ac:dyDescent="0.25">
      <c r="A79" s="202"/>
      <c r="B79" s="202"/>
      <c r="C79" s="202"/>
      <c r="D79" s="202"/>
      <c r="E79" s="206"/>
      <c r="F79" s="202"/>
      <c r="G79" s="202"/>
      <c r="H79" s="202"/>
      <c r="I79" s="204"/>
      <c r="L79" s="202"/>
    </row>
    <row r="80" spans="1:12" s="205" customFormat="1" x14ac:dyDescent="0.25">
      <c r="A80" s="202"/>
      <c r="B80" s="202"/>
      <c r="C80" s="202"/>
      <c r="D80" s="202"/>
      <c r="E80" s="206"/>
      <c r="F80" s="202"/>
      <c r="G80" s="202"/>
      <c r="H80" s="202"/>
      <c r="I80" s="204"/>
      <c r="L80" s="202"/>
    </row>
    <row r="81" spans="1:12" s="205" customFormat="1" x14ac:dyDescent="0.25">
      <c r="A81" s="202"/>
      <c r="B81" s="202"/>
      <c r="C81" s="202"/>
      <c r="D81" s="202"/>
      <c r="E81" s="206"/>
      <c r="F81" s="202"/>
      <c r="G81" s="202"/>
      <c r="H81" s="202"/>
      <c r="I81" s="204"/>
      <c r="L81" s="202"/>
    </row>
    <row r="82" spans="1:12" s="205" customFormat="1" x14ac:dyDescent="0.25">
      <c r="A82" s="202"/>
      <c r="B82" s="202"/>
      <c r="C82" s="202"/>
      <c r="D82" s="202"/>
      <c r="E82" s="206"/>
      <c r="F82" s="202"/>
      <c r="G82" s="202"/>
      <c r="H82" s="202"/>
      <c r="I82" s="204"/>
      <c r="L82" s="202"/>
    </row>
    <row r="83" spans="1:12" s="205" customFormat="1" x14ac:dyDescent="0.25">
      <c r="A83" s="202"/>
      <c r="B83" s="202"/>
      <c r="C83" s="202"/>
      <c r="D83" s="202"/>
      <c r="E83" s="206"/>
      <c r="F83" s="202"/>
      <c r="G83" s="202"/>
      <c r="H83" s="202"/>
      <c r="I83" s="204"/>
      <c r="L83" s="202"/>
    </row>
    <row r="84" spans="1:12" s="205" customFormat="1" x14ac:dyDescent="0.25">
      <c r="A84" s="202"/>
      <c r="B84" s="202"/>
      <c r="C84" s="202"/>
      <c r="D84" s="202"/>
      <c r="E84" s="206"/>
      <c r="F84" s="202"/>
      <c r="G84" s="202"/>
      <c r="H84" s="202"/>
      <c r="I84" s="204"/>
      <c r="L84" s="202"/>
    </row>
    <row r="85" spans="1:12" s="205" customFormat="1" x14ac:dyDescent="0.25">
      <c r="A85" s="202"/>
      <c r="B85" s="202"/>
      <c r="C85" s="202"/>
      <c r="D85" s="202"/>
      <c r="E85" s="206"/>
      <c r="F85" s="202"/>
      <c r="G85" s="202"/>
      <c r="H85" s="202"/>
      <c r="I85" s="204"/>
      <c r="L85" s="202"/>
    </row>
    <row r="86" spans="1:12" s="205" customFormat="1" x14ac:dyDescent="0.25">
      <c r="A86" s="202"/>
      <c r="B86" s="202"/>
      <c r="C86" s="202"/>
      <c r="D86" s="202"/>
      <c r="E86" s="206"/>
      <c r="F86" s="202"/>
      <c r="G86" s="202"/>
      <c r="H86" s="202"/>
      <c r="I86" s="204"/>
      <c r="L86" s="202"/>
    </row>
    <row r="87" spans="1:12" s="205" customFormat="1" x14ac:dyDescent="0.25">
      <c r="A87" s="202"/>
      <c r="B87" s="202"/>
      <c r="C87" s="202"/>
      <c r="D87" s="202"/>
      <c r="E87" s="206"/>
      <c r="F87" s="202"/>
      <c r="G87" s="202"/>
      <c r="H87" s="202"/>
      <c r="I87" s="204"/>
      <c r="L87" s="202"/>
    </row>
    <row r="88" spans="1:12" s="205" customFormat="1" x14ac:dyDescent="0.25">
      <c r="A88" s="202"/>
      <c r="B88" s="202"/>
      <c r="C88" s="202"/>
      <c r="D88" s="202"/>
      <c r="E88" s="206"/>
      <c r="F88" s="202"/>
      <c r="G88" s="202"/>
      <c r="H88" s="202"/>
      <c r="I88" s="204"/>
      <c r="L88" s="202"/>
    </row>
    <row r="89" spans="1:12" s="205" customFormat="1" x14ac:dyDescent="0.25">
      <c r="A89" s="202"/>
      <c r="B89" s="202"/>
      <c r="C89" s="202"/>
      <c r="D89" s="202"/>
      <c r="E89" s="206"/>
      <c r="F89" s="202"/>
      <c r="G89" s="202"/>
      <c r="H89" s="202"/>
      <c r="I89" s="204"/>
      <c r="L89" s="202"/>
    </row>
    <row r="90" spans="1:12" s="205" customFormat="1" x14ac:dyDescent="0.25">
      <c r="A90" s="202"/>
      <c r="B90" s="202"/>
      <c r="C90" s="202"/>
      <c r="D90" s="202"/>
      <c r="E90" s="203"/>
      <c r="F90" s="202"/>
      <c r="G90" s="202"/>
      <c r="H90" s="202"/>
      <c r="I90" s="204"/>
      <c r="L90" s="202"/>
    </row>
    <row r="91" spans="1:12" s="205" customFormat="1" x14ac:dyDescent="0.25">
      <c r="A91" s="202"/>
      <c r="B91" s="202"/>
      <c r="C91" s="202"/>
      <c r="D91" s="202"/>
      <c r="E91" s="203"/>
      <c r="F91" s="202"/>
      <c r="G91" s="202"/>
      <c r="H91" s="202"/>
      <c r="I91" s="204"/>
      <c r="L91" s="202"/>
    </row>
    <row r="92" spans="1:12" s="205" customFormat="1" x14ac:dyDescent="0.25">
      <c r="A92" s="202"/>
      <c r="B92" s="202"/>
      <c r="C92" s="202"/>
      <c r="D92" s="202"/>
      <c r="E92" s="203"/>
      <c r="F92" s="202"/>
      <c r="G92" s="202"/>
      <c r="H92" s="202"/>
      <c r="I92" s="204"/>
      <c r="L92" s="202"/>
    </row>
    <row r="93" spans="1:12" s="205" customFormat="1" x14ac:dyDescent="0.25">
      <c r="A93" s="202"/>
      <c r="B93" s="202"/>
      <c r="C93" s="202"/>
      <c r="D93" s="202"/>
      <c r="E93" s="203"/>
      <c r="F93" s="202"/>
      <c r="G93" s="202"/>
      <c r="H93" s="202"/>
      <c r="I93" s="204"/>
      <c r="L93" s="202"/>
    </row>
    <row r="94" spans="1:12" s="205" customFormat="1" x14ac:dyDescent="0.25">
      <c r="A94" s="202"/>
      <c r="B94" s="202"/>
      <c r="C94" s="202"/>
      <c r="D94" s="202"/>
      <c r="E94" s="203"/>
      <c r="F94" s="202"/>
      <c r="G94" s="202"/>
      <c r="H94" s="202"/>
      <c r="I94" s="204"/>
      <c r="L94" s="202"/>
    </row>
    <row r="95" spans="1:12" s="205" customFormat="1" x14ac:dyDescent="0.25">
      <c r="A95" s="202"/>
      <c r="B95" s="202"/>
      <c r="C95" s="202"/>
      <c r="D95" s="202"/>
      <c r="E95" s="203"/>
      <c r="F95" s="202"/>
      <c r="G95" s="202"/>
      <c r="H95" s="202"/>
      <c r="I95" s="204"/>
      <c r="L95" s="202"/>
    </row>
    <row r="96" spans="1:12" s="205" customFormat="1" x14ac:dyDescent="0.25">
      <c r="A96" s="202"/>
      <c r="B96" s="202"/>
      <c r="C96" s="202"/>
      <c r="D96" s="202"/>
      <c r="E96" s="203"/>
      <c r="F96" s="202"/>
      <c r="G96" s="202"/>
      <c r="H96" s="202"/>
      <c r="I96" s="204"/>
      <c r="L96" s="202"/>
    </row>
    <row r="97" spans="1:12" s="205" customFormat="1" x14ac:dyDescent="0.25">
      <c r="A97" s="202"/>
      <c r="B97" s="202"/>
      <c r="C97" s="202"/>
      <c r="D97" s="202"/>
      <c r="E97" s="203"/>
      <c r="F97" s="202"/>
      <c r="G97" s="202"/>
      <c r="H97" s="202"/>
      <c r="I97" s="204"/>
      <c r="L97" s="202"/>
    </row>
    <row r="98" spans="1:12" s="205" customFormat="1" x14ac:dyDescent="0.25">
      <c r="A98" s="202"/>
      <c r="B98" s="202"/>
      <c r="C98" s="202"/>
      <c r="D98" s="202"/>
      <c r="E98" s="203"/>
      <c r="F98" s="202"/>
      <c r="G98" s="202"/>
      <c r="H98" s="202"/>
      <c r="I98" s="204"/>
      <c r="L98" s="202"/>
    </row>
    <row r="99" spans="1:12" s="205" customFormat="1" x14ac:dyDescent="0.25">
      <c r="A99" s="202"/>
      <c r="B99" s="202"/>
      <c r="C99" s="202"/>
      <c r="D99" s="202"/>
      <c r="E99" s="203"/>
      <c r="F99" s="202"/>
      <c r="G99" s="202"/>
      <c r="H99" s="202"/>
      <c r="I99" s="204"/>
      <c r="L99" s="202"/>
    </row>
    <row r="100" spans="1:12" s="205" customFormat="1" x14ac:dyDescent="0.25">
      <c r="A100" s="202"/>
      <c r="B100" s="202"/>
      <c r="C100" s="202"/>
      <c r="D100" s="202"/>
      <c r="E100" s="203"/>
      <c r="F100" s="202"/>
      <c r="G100" s="202"/>
      <c r="H100" s="202"/>
      <c r="I100" s="204"/>
      <c r="L100" s="202"/>
    </row>
    <row r="101" spans="1:12" s="205" customFormat="1" x14ac:dyDescent="0.25">
      <c r="A101" s="202"/>
      <c r="B101" s="202"/>
      <c r="C101" s="202"/>
      <c r="D101" s="202"/>
      <c r="E101" s="203"/>
      <c r="F101" s="202"/>
      <c r="G101" s="202"/>
      <c r="H101" s="202"/>
      <c r="I101" s="204"/>
      <c r="L101" s="202"/>
    </row>
    <row r="102" spans="1:12" s="205" customFormat="1" x14ac:dyDescent="0.25">
      <c r="A102" s="202"/>
      <c r="B102" s="202"/>
      <c r="C102" s="202"/>
      <c r="D102" s="202"/>
      <c r="E102" s="203"/>
      <c r="F102" s="202"/>
      <c r="G102" s="202"/>
      <c r="H102" s="202"/>
      <c r="I102" s="204"/>
      <c r="L102" s="202"/>
    </row>
    <row r="103" spans="1:12" s="205" customFormat="1" x14ac:dyDescent="0.25">
      <c r="A103" s="202"/>
      <c r="B103" s="202"/>
      <c r="C103" s="202"/>
      <c r="D103" s="202"/>
      <c r="E103" s="203"/>
      <c r="F103" s="202"/>
      <c r="G103" s="202"/>
      <c r="H103" s="202"/>
      <c r="I103" s="204"/>
      <c r="L103" s="202"/>
    </row>
    <row r="104" spans="1:12" s="205" customFormat="1" x14ac:dyDescent="0.25">
      <c r="A104" s="202"/>
      <c r="B104" s="202"/>
      <c r="C104" s="202"/>
      <c r="D104" s="202"/>
      <c r="E104" s="203"/>
      <c r="F104" s="202"/>
      <c r="G104" s="202"/>
      <c r="H104" s="202"/>
      <c r="I104" s="204"/>
      <c r="L104" s="202"/>
    </row>
    <row r="105" spans="1:12" s="205" customFormat="1" x14ac:dyDescent="0.25">
      <c r="A105" s="202"/>
      <c r="B105" s="202"/>
      <c r="C105" s="202"/>
      <c r="D105" s="202"/>
      <c r="E105" s="203"/>
      <c r="F105" s="202"/>
      <c r="G105" s="202"/>
      <c r="H105" s="202"/>
      <c r="I105" s="204"/>
      <c r="L105" s="202"/>
    </row>
    <row r="106" spans="1:12" s="205" customFormat="1" x14ac:dyDescent="0.25">
      <c r="A106" s="202"/>
      <c r="B106" s="202"/>
      <c r="C106" s="202"/>
      <c r="D106" s="202"/>
      <c r="E106" s="203"/>
      <c r="F106" s="202"/>
      <c r="G106" s="202"/>
      <c r="H106" s="202"/>
      <c r="I106" s="204"/>
      <c r="L106" s="202"/>
    </row>
    <row r="107" spans="1:12" s="205" customFormat="1" x14ac:dyDescent="0.25">
      <c r="A107" s="202"/>
      <c r="B107" s="202"/>
      <c r="C107" s="202"/>
      <c r="D107" s="202"/>
      <c r="E107" s="203"/>
      <c r="F107" s="202"/>
      <c r="G107" s="202"/>
      <c r="H107" s="202"/>
      <c r="I107" s="204"/>
      <c r="L107" s="202"/>
    </row>
    <row r="108" spans="1:12" s="205" customFormat="1" x14ac:dyDescent="0.25">
      <c r="A108" s="202"/>
      <c r="B108" s="202"/>
      <c r="C108" s="202"/>
      <c r="D108" s="202"/>
      <c r="E108" s="203"/>
      <c r="F108" s="202"/>
      <c r="G108" s="202"/>
      <c r="H108" s="202"/>
      <c r="I108" s="204"/>
      <c r="L108" s="202"/>
    </row>
    <row r="109" spans="1:12" s="205" customFormat="1" x14ac:dyDescent="0.25">
      <c r="A109" s="202"/>
      <c r="B109" s="202"/>
      <c r="C109" s="202"/>
      <c r="D109" s="202"/>
      <c r="E109" s="203"/>
      <c r="F109" s="202"/>
      <c r="G109" s="202"/>
      <c r="H109" s="202"/>
      <c r="I109" s="204"/>
      <c r="L109" s="202"/>
    </row>
    <row r="110" spans="1:12" s="205" customFormat="1" x14ac:dyDescent="0.25">
      <c r="A110" s="202"/>
      <c r="B110" s="202"/>
      <c r="C110" s="202"/>
      <c r="D110" s="202"/>
      <c r="E110" s="203"/>
      <c r="F110" s="202"/>
      <c r="G110" s="202"/>
      <c r="H110" s="202"/>
      <c r="I110" s="204"/>
      <c r="L110" s="202"/>
    </row>
    <row r="111" spans="1:12" s="205" customFormat="1" x14ac:dyDescent="0.25">
      <c r="A111" s="202"/>
      <c r="B111" s="202"/>
      <c r="C111" s="202"/>
      <c r="D111" s="202"/>
      <c r="E111" s="203"/>
      <c r="F111" s="202"/>
      <c r="G111" s="202"/>
      <c r="H111" s="202"/>
      <c r="I111" s="204"/>
      <c r="L111" s="202"/>
    </row>
    <row r="112" spans="1:12" s="205" customFormat="1" x14ac:dyDescent="0.25">
      <c r="A112" s="202"/>
      <c r="B112" s="202"/>
      <c r="C112" s="202"/>
      <c r="D112" s="202"/>
      <c r="E112" s="203"/>
      <c r="F112" s="202"/>
      <c r="G112" s="202"/>
      <c r="H112" s="202"/>
      <c r="I112" s="204"/>
      <c r="L112" s="202"/>
    </row>
    <row r="113" spans="1:12" s="205" customFormat="1" x14ac:dyDescent="0.25">
      <c r="A113" s="202"/>
      <c r="B113" s="202"/>
      <c r="C113" s="202"/>
      <c r="D113" s="202"/>
      <c r="E113" s="203"/>
      <c r="F113" s="202"/>
      <c r="G113" s="202"/>
      <c r="H113" s="202"/>
      <c r="I113" s="204"/>
      <c r="L113" s="202"/>
    </row>
    <row r="114" spans="1:12" s="205" customFormat="1" x14ac:dyDescent="0.25">
      <c r="A114" s="202"/>
      <c r="B114" s="202"/>
      <c r="C114" s="202"/>
      <c r="D114" s="202"/>
      <c r="E114" s="203"/>
      <c r="F114" s="202"/>
      <c r="G114" s="202"/>
      <c r="H114" s="202"/>
      <c r="I114" s="204"/>
      <c r="L114" s="202"/>
    </row>
    <row r="115" spans="1:12" s="205" customFormat="1" x14ac:dyDescent="0.25">
      <c r="A115" s="202"/>
      <c r="B115" s="202"/>
      <c r="C115" s="202"/>
      <c r="D115" s="202"/>
      <c r="E115" s="203"/>
      <c r="F115" s="202"/>
      <c r="G115" s="202"/>
      <c r="H115" s="202"/>
      <c r="I115" s="204"/>
      <c r="L115" s="202"/>
    </row>
    <row r="116" spans="1:12" s="205" customFormat="1" x14ac:dyDescent="0.25">
      <c r="A116" s="202"/>
      <c r="B116" s="202"/>
      <c r="C116" s="202"/>
      <c r="D116" s="202"/>
      <c r="E116" s="203"/>
      <c r="F116" s="202"/>
      <c r="G116" s="202"/>
      <c r="H116" s="202"/>
      <c r="I116" s="204"/>
      <c r="L116" s="202"/>
    </row>
    <row r="117" spans="1:12" s="205" customFormat="1" x14ac:dyDescent="0.25">
      <c r="A117" s="202"/>
      <c r="B117" s="202"/>
      <c r="C117" s="202"/>
      <c r="D117" s="202"/>
      <c r="E117" s="203"/>
      <c r="F117" s="202"/>
      <c r="G117" s="202"/>
      <c r="H117" s="202"/>
      <c r="I117" s="204"/>
      <c r="L117" s="202"/>
    </row>
    <row r="118" spans="1:12" s="205" customFormat="1" x14ac:dyDescent="0.25">
      <c r="A118" s="202"/>
      <c r="B118" s="202"/>
      <c r="C118" s="202"/>
      <c r="D118" s="202"/>
      <c r="E118" s="203"/>
      <c r="F118" s="202"/>
      <c r="G118" s="202"/>
      <c r="H118" s="202"/>
      <c r="I118" s="204"/>
      <c r="L118" s="202"/>
    </row>
    <row r="119" spans="1:12" s="205" customFormat="1" x14ac:dyDescent="0.25">
      <c r="A119" s="202"/>
      <c r="B119" s="202"/>
      <c r="C119" s="202"/>
      <c r="D119" s="202"/>
      <c r="E119" s="203"/>
      <c r="F119" s="202"/>
      <c r="G119" s="202"/>
      <c r="H119" s="202"/>
      <c r="I119" s="204"/>
      <c r="L119" s="202"/>
    </row>
    <row r="120" spans="1:12" s="205" customFormat="1" x14ac:dyDescent="0.25">
      <c r="A120" s="202"/>
      <c r="B120" s="202"/>
      <c r="C120" s="202"/>
      <c r="D120" s="202"/>
      <c r="E120" s="203"/>
      <c r="F120" s="202"/>
      <c r="G120" s="202"/>
      <c r="H120" s="202"/>
      <c r="I120" s="204"/>
      <c r="L120" s="202"/>
    </row>
    <row r="121" spans="1:12" s="205" customFormat="1" x14ac:dyDescent="0.25">
      <c r="A121" s="202"/>
      <c r="B121" s="202"/>
      <c r="C121" s="202"/>
      <c r="D121" s="202"/>
      <c r="E121" s="203"/>
      <c r="F121" s="202"/>
      <c r="G121" s="202"/>
      <c r="H121" s="202"/>
      <c r="I121" s="204"/>
      <c r="L121" s="202"/>
    </row>
    <row r="122" spans="1:12" s="205" customFormat="1" x14ac:dyDescent="0.25">
      <c r="A122" s="202"/>
      <c r="B122" s="202"/>
      <c r="C122" s="202"/>
      <c r="D122" s="202"/>
      <c r="E122" s="203"/>
      <c r="F122" s="202"/>
      <c r="G122" s="202"/>
      <c r="H122" s="202"/>
      <c r="I122" s="204"/>
      <c r="L122" s="202"/>
    </row>
    <row r="123" spans="1:12" s="205" customFormat="1" x14ac:dyDescent="0.25">
      <c r="A123" s="202"/>
      <c r="B123" s="202"/>
      <c r="C123" s="202"/>
      <c r="D123" s="202"/>
      <c r="E123" s="203"/>
      <c r="F123" s="202"/>
      <c r="G123" s="202"/>
      <c r="H123" s="202"/>
      <c r="I123" s="204"/>
      <c r="L123" s="202"/>
    </row>
    <row r="124" spans="1:12" s="205" customFormat="1" x14ac:dyDescent="0.25">
      <c r="A124" s="202"/>
      <c r="B124" s="202"/>
      <c r="C124" s="202"/>
      <c r="D124" s="202"/>
      <c r="E124" s="203"/>
      <c r="F124" s="202"/>
      <c r="G124" s="202"/>
      <c r="H124" s="202"/>
      <c r="I124" s="204"/>
      <c r="L124" s="202"/>
    </row>
    <row r="125" spans="1:12" s="205" customFormat="1" x14ac:dyDescent="0.25">
      <c r="A125" s="202"/>
      <c r="B125" s="202"/>
      <c r="C125" s="202"/>
      <c r="D125" s="202"/>
      <c r="E125" s="203"/>
      <c r="F125" s="202"/>
      <c r="G125" s="202"/>
      <c r="H125" s="202"/>
      <c r="I125" s="204"/>
      <c r="L125" s="202"/>
    </row>
    <row r="126" spans="1:12" s="205" customFormat="1" x14ac:dyDescent="0.25">
      <c r="A126" s="202"/>
      <c r="B126" s="202"/>
      <c r="C126" s="202"/>
      <c r="D126" s="202"/>
      <c r="E126" s="203"/>
      <c r="F126" s="202"/>
      <c r="G126" s="202"/>
      <c r="H126" s="202"/>
      <c r="I126" s="204"/>
      <c r="L126" s="202"/>
    </row>
    <row r="127" spans="1:12" s="205" customFormat="1" x14ac:dyDescent="0.25">
      <c r="A127" s="202"/>
      <c r="B127" s="202"/>
      <c r="C127" s="202"/>
      <c r="D127" s="202"/>
      <c r="E127" s="203"/>
      <c r="F127" s="202"/>
      <c r="G127" s="202"/>
      <c r="H127" s="202"/>
      <c r="I127" s="204"/>
      <c r="L127" s="202"/>
    </row>
    <row r="128" spans="1:12" s="205" customFormat="1" x14ac:dyDescent="0.25">
      <c r="A128" s="202"/>
      <c r="B128" s="202"/>
      <c r="C128" s="202"/>
      <c r="D128" s="202"/>
      <c r="E128" s="203"/>
      <c r="F128" s="202"/>
      <c r="G128" s="202"/>
      <c r="H128" s="202"/>
      <c r="I128" s="204"/>
      <c r="L128" s="202"/>
    </row>
    <row r="129" spans="1:12" s="205" customFormat="1" x14ac:dyDescent="0.25">
      <c r="A129" s="202"/>
      <c r="B129" s="202"/>
      <c r="C129" s="202"/>
      <c r="D129" s="202"/>
      <c r="E129" s="203"/>
      <c r="F129" s="202"/>
      <c r="G129" s="202"/>
      <c r="H129" s="202"/>
      <c r="I129" s="204"/>
      <c r="L129" s="202"/>
    </row>
    <row r="130" spans="1:12" s="205" customFormat="1" x14ac:dyDescent="0.25">
      <c r="A130" s="202"/>
      <c r="B130" s="202"/>
      <c r="C130" s="202"/>
      <c r="D130" s="202"/>
      <c r="E130" s="203"/>
      <c r="F130" s="202"/>
      <c r="G130" s="202"/>
      <c r="H130" s="202"/>
      <c r="I130" s="204"/>
      <c r="L130" s="202"/>
    </row>
    <row r="131" spans="1:12" s="205" customFormat="1" x14ac:dyDescent="0.25">
      <c r="A131" s="202"/>
      <c r="B131" s="202"/>
      <c r="C131" s="202"/>
      <c r="D131" s="202"/>
      <c r="E131" s="203"/>
      <c r="F131" s="202"/>
      <c r="G131" s="202"/>
      <c r="H131" s="202"/>
      <c r="I131" s="204"/>
      <c r="L131" s="202"/>
    </row>
    <row r="132" spans="1:12" s="205" customFormat="1" x14ac:dyDescent="0.25">
      <c r="A132" s="202"/>
      <c r="B132" s="202"/>
      <c r="C132" s="202"/>
      <c r="D132" s="202"/>
      <c r="E132" s="203"/>
      <c r="F132" s="202"/>
      <c r="G132" s="202"/>
      <c r="H132" s="202"/>
      <c r="I132" s="204"/>
      <c r="L132" s="202"/>
    </row>
    <row r="133" spans="1:12" s="205" customFormat="1" x14ac:dyDescent="0.25">
      <c r="A133" s="202"/>
      <c r="B133" s="202"/>
      <c r="C133" s="202"/>
      <c r="D133" s="202"/>
      <c r="E133" s="203"/>
      <c r="F133" s="202"/>
      <c r="G133" s="202"/>
      <c r="H133" s="202"/>
      <c r="I133" s="204"/>
      <c r="L133" s="202"/>
    </row>
    <row r="134" spans="1:12" s="205" customFormat="1" x14ac:dyDescent="0.25">
      <c r="A134" s="202"/>
      <c r="B134" s="202"/>
      <c r="C134" s="202"/>
      <c r="D134" s="202"/>
      <c r="E134" s="203"/>
      <c r="F134" s="202"/>
      <c r="G134" s="202"/>
      <c r="H134" s="202"/>
      <c r="I134" s="204"/>
      <c r="L134" s="202"/>
    </row>
    <row r="135" spans="1:12" s="205" customFormat="1" x14ac:dyDescent="0.25">
      <c r="A135" s="202"/>
      <c r="B135" s="202"/>
      <c r="C135" s="202"/>
      <c r="D135" s="202"/>
      <c r="E135" s="203"/>
      <c r="F135" s="202"/>
      <c r="G135" s="202"/>
      <c r="H135" s="202"/>
      <c r="I135" s="204"/>
      <c r="L135" s="202"/>
    </row>
    <row r="136" spans="1:12" s="205" customFormat="1" x14ac:dyDescent="0.25">
      <c r="A136" s="202"/>
      <c r="B136" s="202"/>
      <c r="C136" s="202"/>
      <c r="D136" s="202"/>
      <c r="E136" s="203"/>
      <c r="F136" s="202"/>
      <c r="G136" s="202"/>
      <c r="H136" s="202"/>
      <c r="I136" s="204"/>
      <c r="L136" s="202"/>
    </row>
    <row r="137" spans="1:12" s="205" customFormat="1" x14ac:dyDescent="0.25">
      <c r="A137" s="202"/>
      <c r="B137" s="202"/>
      <c r="C137" s="202"/>
      <c r="D137" s="202"/>
      <c r="E137" s="203"/>
      <c r="F137" s="202"/>
      <c r="G137" s="202"/>
      <c r="H137" s="202"/>
      <c r="I137" s="204"/>
      <c r="L137" s="202"/>
    </row>
    <row r="138" spans="1:12" s="205" customFormat="1" x14ac:dyDescent="0.25">
      <c r="A138" s="202"/>
      <c r="B138" s="202"/>
      <c r="C138" s="202"/>
      <c r="D138" s="202"/>
      <c r="E138" s="203"/>
      <c r="F138" s="202"/>
      <c r="G138" s="202"/>
      <c r="H138" s="202"/>
      <c r="I138" s="204"/>
      <c r="L138" s="202"/>
    </row>
    <row r="139" spans="1:12" s="205" customFormat="1" x14ac:dyDescent="0.25">
      <c r="A139" s="202"/>
      <c r="B139" s="202"/>
      <c r="C139" s="202"/>
      <c r="D139" s="202"/>
      <c r="E139" s="203"/>
      <c r="F139" s="202"/>
      <c r="G139" s="202"/>
      <c r="H139" s="202"/>
      <c r="I139" s="204"/>
      <c r="L139" s="202"/>
    </row>
    <row r="140" spans="1:12" s="205" customFormat="1" x14ac:dyDescent="0.25">
      <c r="A140" s="202"/>
      <c r="B140" s="202"/>
      <c r="C140" s="202"/>
      <c r="D140" s="202"/>
      <c r="E140" s="203"/>
      <c r="F140" s="202"/>
      <c r="G140" s="202"/>
      <c r="H140" s="202"/>
      <c r="I140" s="204"/>
      <c r="L140" s="202"/>
    </row>
    <row r="141" spans="1:12" s="205" customFormat="1" x14ac:dyDescent="0.25">
      <c r="A141" s="202"/>
      <c r="B141" s="202"/>
      <c r="C141" s="202"/>
      <c r="D141" s="202"/>
      <c r="E141" s="203"/>
      <c r="F141" s="202"/>
      <c r="G141" s="202"/>
      <c r="H141" s="202"/>
      <c r="I141" s="204"/>
      <c r="L141" s="202"/>
    </row>
    <row r="142" spans="1:12" s="205" customFormat="1" x14ac:dyDescent="0.25">
      <c r="A142" s="202"/>
      <c r="B142" s="202"/>
      <c r="C142" s="202"/>
      <c r="D142" s="202"/>
      <c r="E142" s="203"/>
      <c r="F142" s="202"/>
      <c r="G142" s="202"/>
      <c r="H142" s="202"/>
      <c r="I142" s="204"/>
      <c r="L142" s="202"/>
    </row>
    <row r="143" spans="1:12" s="205" customFormat="1" x14ac:dyDescent="0.25">
      <c r="A143" s="202"/>
      <c r="B143" s="202"/>
      <c r="C143" s="202"/>
      <c r="D143" s="202"/>
      <c r="E143" s="203"/>
      <c r="F143" s="202"/>
      <c r="G143" s="202"/>
      <c r="H143" s="202"/>
      <c r="I143" s="204"/>
      <c r="L143" s="202"/>
    </row>
    <row r="144" spans="1:12" s="205" customFormat="1" x14ac:dyDescent="0.25">
      <c r="A144" s="202"/>
      <c r="B144" s="202"/>
      <c r="C144" s="202"/>
      <c r="D144" s="202"/>
      <c r="E144" s="203"/>
      <c r="F144" s="202"/>
      <c r="G144" s="202"/>
      <c r="H144" s="202"/>
      <c r="I144" s="204"/>
      <c r="L144" s="202"/>
    </row>
    <row r="145" spans="1:12" s="205" customFormat="1" x14ac:dyDescent="0.25">
      <c r="A145" s="202"/>
      <c r="B145" s="202"/>
      <c r="C145" s="202"/>
      <c r="D145" s="202"/>
      <c r="E145" s="203"/>
      <c r="F145" s="202"/>
      <c r="G145" s="202"/>
      <c r="H145" s="202"/>
      <c r="I145" s="204"/>
      <c r="L145" s="202"/>
    </row>
    <row r="146" spans="1:12" s="205" customFormat="1" x14ac:dyDescent="0.25">
      <c r="A146" s="202"/>
      <c r="B146" s="202"/>
      <c r="C146" s="202"/>
      <c r="D146" s="202"/>
      <c r="E146" s="203"/>
      <c r="F146" s="202"/>
      <c r="G146" s="202"/>
      <c r="H146" s="202"/>
      <c r="I146" s="204"/>
      <c r="L146" s="202"/>
    </row>
    <row r="147" spans="1:12" s="205" customFormat="1" x14ac:dyDescent="0.25">
      <c r="A147" s="202"/>
      <c r="B147" s="202"/>
      <c r="C147" s="202"/>
      <c r="D147" s="202"/>
      <c r="E147" s="203"/>
      <c r="F147" s="202"/>
      <c r="G147" s="202"/>
      <c r="H147" s="202"/>
      <c r="I147" s="204"/>
      <c r="L147" s="202"/>
    </row>
    <row r="148" spans="1:12" s="205" customFormat="1" x14ac:dyDescent="0.25">
      <c r="A148" s="202"/>
      <c r="B148" s="202"/>
      <c r="C148" s="202"/>
      <c r="D148" s="202"/>
      <c r="E148" s="203"/>
      <c r="F148" s="202"/>
      <c r="G148" s="202"/>
      <c r="H148" s="202"/>
      <c r="I148" s="204"/>
      <c r="L148" s="202"/>
    </row>
    <row r="149" spans="1:12" s="205" customFormat="1" x14ac:dyDescent="0.25">
      <c r="A149" s="202"/>
      <c r="B149" s="202"/>
      <c r="C149" s="202"/>
      <c r="D149" s="202"/>
      <c r="E149" s="203"/>
      <c r="F149" s="202"/>
      <c r="G149" s="202"/>
      <c r="H149" s="202"/>
      <c r="I149" s="204"/>
      <c r="L149" s="202"/>
    </row>
  </sheetData>
  <sheetProtection formatCells="0" insertRows="0" deleteRows="0" autoFilter="0"/>
  <autoFilter ref="A3:L3"/>
  <customSheetViews>
    <customSheetView guid="{0FDF722F-6BE5-40CC-8643-96FA7475187B}">
      <pane ySplit="1" topLeftCell="A2" activePane="bottomLeft" state="frozen"/>
      <selection pane="bottomLeft" activeCell="A4" sqref="A4:T4"/>
      <pageMargins left="0" right="0" top="0" bottom="0" header="0" footer="0"/>
      <printOptions gridLines="1"/>
      <pageSetup fitToWidth="0" fitToHeight="0" orientation="landscape" r:id="rId1"/>
    </customSheetView>
  </customSheetViews>
  <mergeCells count="1">
    <mergeCell ref="A2:G2"/>
  </mergeCells>
  <dataValidations count="1">
    <dataValidation type="list" allowBlank="1" showInputMessage="1" showErrorMessage="1" sqref="B4:B1048576">
      <formula1>issueType</formula1>
    </dataValidation>
  </dataValidations>
  <printOptions gridLines="1"/>
  <pageMargins left="0" right="0" top="0" bottom="0" header="0" footer="0"/>
  <pageSetup fitToWidth="0"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48" r:id="rId5" name="Button 24">
              <controlPr defaultSize="0" print="0" autoFill="0" autoPict="0" macro="[0]!Home">
                <anchor moveWithCells="1" sizeWithCells="1">
                  <from>
                    <xdr:col>0</xdr:col>
                    <xdr:colOff>0</xdr:colOff>
                    <xdr:row>0</xdr:row>
                    <xdr:rowOff>0</xdr:rowOff>
                  </from>
                  <to>
                    <xdr:col>2</xdr:col>
                    <xdr:colOff>561975</xdr:colOff>
                    <xdr:row>0</xdr:row>
                    <xdr:rowOff>0</xdr:rowOff>
                  </to>
                </anchor>
              </controlPr>
            </control>
          </mc:Choice>
        </mc:AlternateContent>
        <mc:AlternateContent xmlns:mc="http://schemas.openxmlformats.org/markup-compatibility/2006">
          <mc:Choice Requires="x14">
            <control shapeId="1049" r:id="rId6" name="Button 25">
              <controlPr defaultSize="0" print="0" autoFill="0" autoPict="0" macro="[0]!RemoveHLBR">
                <anchor moveWithCells="1" sizeWithCells="1">
                  <from>
                    <xdr:col>2</xdr:col>
                    <xdr:colOff>590550</xdr:colOff>
                    <xdr:row>0</xdr:row>
                    <xdr:rowOff>0</xdr:rowOff>
                  </from>
                  <to>
                    <xdr:col>2</xdr:col>
                    <xdr:colOff>2009775</xdr:colOff>
                    <xdr:row>0</xdr:row>
                    <xdr:rowOff>0</xdr:rowOff>
                  </to>
                </anchor>
              </controlPr>
            </control>
          </mc:Choice>
        </mc:AlternateContent>
        <mc:AlternateContent xmlns:mc="http://schemas.openxmlformats.org/markup-compatibility/2006">
          <mc:Choice Requires="x14">
            <control shapeId="1051" r:id="rId7" name="Button 27">
              <controlPr defaultSize="0" print="0" autoFill="0" autoPict="0" macro="[0]!RemoveHLBR">
                <anchor moveWithCells="1" sizeWithCells="1">
                  <from>
                    <xdr:col>2</xdr:col>
                    <xdr:colOff>2038350</xdr:colOff>
                    <xdr:row>0</xdr:row>
                    <xdr:rowOff>0</xdr:rowOff>
                  </from>
                  <to>
                    <xdr:col>4</xdr:col>
                    <xdr:colOff>0</xdr:colOff>
                    <xdr:row>0</xdr:row>
                    <xdr:rowOff>0</xdr:rowOff>
                  </to>
                </anchor>
              </controlPr>
            </control>
          </mc:Choice>
        </mc:AlternateContent>
        <mc:AlternateContent xmlns:mc="http://schemas.openxmlformats.org/markup-compatibility/2006">
          <mc:Choice Requires="x14">
            <control shapeId="1052" r:id="rId8" name="Button 28">
              <controlPr defaultSize="0" print="0" autoFill="0" autoPict="0" macro="[0]!RemoveHLBR">
                <anchor moveWithCells="1" sizeWithCells="1">
                  <from>
                    <xdr:col>4</xdr:col>
                    <xdr:colOff>0</xdr:colOff>
                    <xdr:row>0</xdr:row>
                    <xdr:rowOff>0</xdr:rowOff>
                  </from>
                  <to>
                    <xdr:col>6</xdr:col>
                    <xdr:colOff>0</xdr:colOff>
                    <xdr:row>0</xdr:row>
                    <xdr:rowOff>0</xdr:rowOff>
                  </to>
                </anchor>
              </controlPr>
            </control>
          </mc:Choice>
        </mc:AlternateContent>
        <mc:AlternateContent xmlns:mc="http://schemas.openxmlformats.org/markup-compatibility/2006">
          <mc:Choice Requires="x14">
            <control shapeId="1068" r:id="rId9" name="Button 44">
              <controlPr defaultSize="0" print="0" autoFill="0" autoPict="0" macro="[0]!AddGP">
                <anchor moveWithCells="1" sizeWithCells="1">
                  <from>
                    <xdr:col>2</xdr:col>
                    <xdr:colOff>762000</xdr:colOff>
                    <xdr:row>0</xdr:row>
                    <xdr:rowOff>0</xdr:rowOff>
                  </from>
                  <to>
                    <xdr:col>2</xdr:col>
                    <xdr:colOff>1962150</xdr:colOff>
                    <xdr:row>0</xdr:row>
                    <xdr:rowOff>0</xdr:rowOff>
                  </to>
                </anchor>
              </controlPr>
            </control>
          </mc:Choice>
        </mc:AlternateContent>
        <mc:AlternateContent xmlns:mc="http://schemas.openxmlformats.org/markup-compatibility/2006">
          <mc:Choice Requires="x14">
            <control shapeId="1053" r:id="rId10" name="Button 29">
              <controlPr defaultSize="0" print="0" autoFill="0" autoPict="0" macro="[0]!AddRQ">
                <anchor moveWithCells="1" sizeWithCells="1">
                  <from>
                    <xdr:col>0</xdr:col>
                    <xdr:colOff>180975</xdr:colOff>
                    <xdr:row>0</xdr:row>
                    <xdr:rowOff>0</xdr:rowOff>
                  </from>
                  <to>
                    <xdr:col>2</xdr:col>
                    <xdr:colOff>704850</xdr:colOff>
                    <xdr:row>0</xdr:row>
                    <xdr:rowOff>0</xdr:rowOff>
                  </to>
                </anchor>
              </controlPr>
            </control>
          </mc:Choice>
        </mc:AlternateContent>
        <mc:AlternateContent xmlns:mc="http://schemas.openxmlformats.org/markup-compatibility/2006">
          <mc:Choice Requires="x14">
            <control shapeId="1073" r:id="rId11" name="Button 49">
              <controlPr defaultSize="0" print="0" autoFill="0" autoPict="0" macro="[0]!AddAsp">
                <anchor moveWithCells="1" sizeWithCells="1">
                  <from>
                    <xdr:col>2</xdr:col>
                    <xdr:colOff>2038350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083" r:id="rId12" name="Button 59">
              <controlPr defaultSize="0" print="0" autoFill="0" autoPict="0" macro="[0]!AddDep">
                <anchor moveWithCells="1" sizeWithCells="1">
                  <from>
                    <xdr:col>0</xdr:col>
                    <xdr:colOff>190500</xdr:colOff>
                    <xdr:row>0</xdr:row>
                    <xdr:rowOff>0</xdr:rowOff>
                  </from>
                  <to>
                    <xdr:col>2</xdr:col>
                    <xdr:colOff>714375</xdr:colOff>
                    <xdr:row>0</xdr:row>
                    <xdr:rowOff>0</xdr:rowOff>
                  </to>
                </anchor>
              </controlPr>
            </control>
          </mc:Choice>
        </mc:AlternateContent>
        <mc:AlternateContent xmlns:mc="http://schemas.openxmlformats.org/markup-compatibility/2006">
          <mc:Choice Requires="x14">
            <control shapeId="1084" r:id="rId13" name="Button 60">
              <controlPr defaultSize="0" print="0" autoFill="0" autoPict="0" macro="[0]!AddCons">
                <anchor moveWithCells="1" sizeWithCells="1">
                  <from>
                    <xdr:col>0</xdr:col>
                    <xdr:colOff>190500</xdr:colOff>
                    <xdr:row>0</xdr:row>
                    <xdr:rowOff>0</xdr:rowOff>
                  </from>
                  <to>
                    <xdr:col>2</xdr:col>
                    <xdr:colOff>714375</xdr:colOff>
                    <xdr:row>0</xdr:row>
                    <xdr:rowOff>0</xdr:rowOff>
                  </to>
                </anchor>
              </controlPr>
            </control>
          </mc:Choice>
        </mc:AlternateContent>
        <mc:AlternateContent xmlns:mc="http://schemas.openxmlformats.org/markup-compatibility/2006">
          <mc:Choice Requires="x14">
            <control shapeId="1085" r:id="rId14" name="Button 61">
              <controlPr defaultSize="0" print="0" autoFill="0" autoPict="0" macro="[0]!Module2.ConvertGP">
                <anchor moveWithCells="1" sizeWithCells="1">
                  <from>
                    <xdr:col>2</xdr:col>
                    <xdr:colOff>771525</xdr:colOff>
                    <xdr:row>0</xdr:row>
                    <xdr:rowOff>0</xdr:rowOff>
                  </from>
                  <to>
                    <xdr:col>2</xdr:col>
                    <xdr:colOff>1971675</xdr:colOff>
                    <xdr:row>0</xdr:row>
                    <xdr:rowOff>0</xdr:rowOff>
                  </to>
                </anchor>
              </controlPr>
            </control>
          </mc:Choice>
        </mc:AlternateContent>
        <mc:AlternateContent xmlns:mc="http://schemas.openxmlformats.org/markup-compatibility/2006">
          <mc:Choice Requires="x14">
            <control shapeId="1087" r:id="rId15" name="Button 63">
              <controlPr defaultSize="0" print="0" autoFill="0" autoPict="0" macro="[0]!ConvertDep">
                <anchor moveWithCells="1" sizeWithCells="1">
                  <from>
                    <xdr:col>2</xdr:col>
                    <xdr:colOff>495300</xdr:colOff>
                    <xdr:row>0</xdr:row>
                    <xdr:rowOff>0</xdr:rowOff>
                  </from>
                  <to>
                    <xdr:col>2</xdr:col>
                    <xdr:colOff>1676400</xdr:colOff>
                    <xdr:row>0</xdr:row>
                    <xdr:rowOff>0</xdr:rowOff>
                  </to>
                </anchor>
              </controlPr>
            </control>
          </mc:Choice>
        </mc:AlternateContent>
        <mc:AlternateContent xmlns:mc="http://schemas.openxmlformats.org/markup-compatibility/2006">
          <mc:Choice Requires="x14">
            <control shapeId="1088" r:id="rId16" name="Button 64">
              <controlPr defaultSize="0" print="0" autoFill="0" autoPict="0" macro="[0]!ConvertConst">
                <anchor moveWithCells="1" sizeWithCells="1">
                  <from>
                    <xdr:col>2</xdr:col>
                    <xdr:colOff>495300</xdr:colOff>
                    <xdr:row>0</xdr:row>
                    <xdr:rowOff>0</xdr:rowOff>
                  </from>
                  <to>
                    <xdr:col>2</xdr:col>
                    <xdr:colOff>1676400</xdr:colOff>
                    <xdr:row>0</xdr:row>
                    <xdr:rowOff>0</xdr:rowOff>
                  </to>
                </anchor>
              </controlPr>
            </control>
          </mc:Choice>
        </mc:AlternateContent>
        <mc:AlternateContent xmlns:mc="http://schemas.openxmlformats.org/markup-compatibility/2006">
          <mc:Choice Requires="x14">
            <control shapeId="1091" r:id="rId17" name="Button 67">
              <controlPr defaultSize="0" print="0" autoFill="0" autoPict="0" macro="[0]!RemoveDetailRQ">
                <anchor moveWithCells="1" sizeWithCells="1">
                  <from>
                    <xdr:col>8</xdr:col>
                    <xdr:colOff>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1107" r:id="rId18" name="Button 83">
              <controlPr defaultSize="0" print="0" autoFill="0" autoPict="0" macro="[0]!RemoveHLBR">
                <anchor moveWithCells="1" sizeWithCells="1">
                  <from>
                    <xdr:col>0</xdr:col>
                    <xdr:colOff>180975</xdr:colOff>
                    <xdr:row>0</xdr:row>
                    <xdr:rowOff>0</xdr:rowOff>
                  </from>
                  <to>
                    <xdr:col>2</xdr:col>
                    <xdr:colOff>704850</xdr:colOff>
                    <xdr:row>0</xdr:row>
                    <xdr:rowOff>0</xdr:rowOff>
                  </to>
                </anchor>
              </controlPr>
            </control>
          </mc:Choice>
        </mc:AlternateContent>
        <mc:AlternateContent xmlns:mc="http://schemas.openxmlformats.org/markup-compatibility/2006">
          <mc:Choice Requires="x14">
            <control shapeId="1120" r:id="rId19" name="Button 96">
              <controlPr defaultSize="0" print="0" autoFill="0" autoPict="0" macro="[0]!AddDetailFormat">
                <anchor moveWithCells="1" sizeWithCells="1">
                  <from>
                    <xdr:col>8</xdr:col>
                    <xdr:colOff>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1122" r:id="rId20" name="Button 98">
              <controlPr defaultSize="0" print="0" autoFill="0" autoPict="0">
                <anchor moveWithCells="1" sizeWithCells="1">
                  <from>
                    <xdr:col>8</xdr:col>
                    <xdr:colOff>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1126" r:id="rId21" name="Button 102">
              <controlPr defaultSize="0" print="0" autoFill="0" autoPict="0" macro="[0]!AddGP">
                <anchor moveWithCells="1" sizeWithCells="1">
                  <from>
                    <xdr:col>0</xdr:col>
                    <xdr:colOff>190500</xdr:colOff>
                    <xdr:row>0</xdr:row>
                    <xdr:rowOff>0</xdr:rowOff>
                  </from>
                  <to>
                    <xdr:col>2</xdr:col>
                    <xdr:colOff>428625</xdr:colOff>
                    <xdr:row>0</xdr:row>
                    <xdr:rowOff>0</xdr:rowOff>
                  </to>
                </anchor>
              </controlPr>
            </control>
          </mc:Choice>
        </mc:AlternateContent>
        <mc:AlternateContent xmlns:mc="http://schemas.openxmlformats.org/markup-compatibility/2006">
          <mc:Choice Requires="x14">
            <control shapeId="1127" r:id="rId22" name="Button 103">
              <controlPr defaultSize="0" print="0" autoFill="0" autoPict="0" macro="[0]!AddRQ">
                <anchor moveWithCells="1" sizeWithCells="1">
                  <from>
                    <xdr:col>0</xdr:col>
                    <xdr:colOff>180975</xdr:colOff>
                    <xdr:row>0</xdr:row>
                    <xdr:rowOff>0</xdr:rowOff>
                  </from>
                  <to>
                    <xdr:col>2</xdr:col>
                    <xdr:colOff>419100</xdr:colOff>
                    <xdr:row>0</xdr:row>
                    <xdr:rowOff>0</xdr:rowOff>
                  </to>
                </anchor>
              </controlPr>
            </control>
          </mc:Choice>
        </mc:AlternateContent>
        <mc:AlternateContent xmlns:mc="http://schemas.openxmlformats.org/markup-compatibility/2006">
          <mc:Choice Requires="x14">
            <control shapeId="1132" r:id="rId23" name="Button 108">
              <controlPr defaultSize="0" print="0" autoFill="0" autoPict="0" macro="[0]!Module2.ConvertGP">
                <anchor moveWithCells="1" sizeWithCells="1">
                  <from>
                    <xdr:col>2</xdr:col>
                    <xdr:colOff>485775</xdr:colOff>
                    <xdr:row>0</xdr:row>
                    <xdr:rowOff>0</xdr:rowOff>
                  </from>
                  <to>
                    <xdr:col>2</xdr:col>
                    <xdr:colOff>1390650</xdr:colOff>
                    <xdr:row>0</xdr:row>
                    <xdr:rowOff>0</xdr:rowOff>
                  </to>
                </anchor>
              </controlPr>
            </control>
          </mc:Choice>
        </mc:AlternateContent>
        <mc:AlternateContent xmlns:mc="http://schemas.openxmlformats.org/markup-compatibility/2006">
          <mc:Choice Requires="x14">
            <control shapeId="1133" r:id="rId24" name="Button 109">
              <controlPr defaultSize="0" print="0" autoFill="0" autoPict="0" macro="[0]!ConvertAsp">
                <anchor moveWithCells="1" sizeWithCells="1">
                  <from>
                    <xdr:col>2</xdr:col>
                    <xdr:colOff>495300</xdr:colOff>
                    <xdr:row>0</xdr:row>
                    <xdr:rowOff>0</xdr:rowOff>
                  </from>
                  <to>
                    <xdr:col>2</xdr:col>
                    <xdr:colOff>1400175</xdr:colOff>
                    <xdr:row>0</xdr:row>
                    <xdr:rowOff>0</xdr:rowOff>
                  </to>
                </anchor>
              </controlPr>
            </control>
          </mc:Choice>
        </mc:AlternateContent>
        <mc:AlternateContent xmlns:mc="http://schemas.openxmlformats.org/markup-compatibility/2006">
          <mc:Choice Requires="x14">
            <control shapeId="1134" r:id="rId25" name="Button 110">
              <controlPr defaultSize="0" print="0" autoFill="0" autoPict="0" macro="[0]!ConvertDep">
                <anchor moveWithCells="1" sizeWithCells="1">
                  <from>
                    <xdr:col>2</xdr:col>
                    <xdr:colOff>495300</xdr:colOff>
                    <xdr:row>0</xdr:row>
                    <xdr:rowOff>0</xdr:rowOff>
                  </from>
                  <to>
                    <xdr:col>2</xdr:col>
                    <xdr:colOff>1400175</xdr:colOff>
                    <xdr:row>0</xdr:row>
                    <xdr:rowOff>0</xdr:rowOff>
                  </to>
                </anchor>
              </controlPr>
            </control>
          </mc:Choice>
        </mc:AlternateContent>
        <mc:AlternateContent xmlns:mc="http://schemas.openxmlformats.org/markup-compatibility/2006">
          <mc:Choice Requires="x14">
            <control shapeId="1135" r:id="rId26" name="Button 111">
              <controlPr defaultSize="0" print="0" autoFill="0" autoPict="0" macro="[0]!ConvertConst">
                <anchor moveWithCells="1" sizeWithCells="1">
                  <from>
                    <xdr:col>2</xdr:col>
                    <xdr:colOff>495300</xdr:colOff>
                    <xdr:row>0</xdr:row>
                    <xdr:rowOff>0</xdr:rowOff>
                  </from>
                  <to>
                    <xdr:col>2</xdr:col>
                    <xdr:colOff>1400175</xdr:colOff>
                    <xdr:row>0</xdr:row>
                    <xdr:rowOff>0</xdr:rowOff>
                  </to>
                </anchor>
              </controlPr>
            </control>
          </mc:Choice>
        </mc:AlternateContent>
        <mc:AlternateContent xmlns:mc="http://schemas.openxmlformats.org/markup-compatibility/2006">
          <mc:Choice Requires="x14">
            <control shapeId="1136" r:id="rId27" name="Button 112">
              <controlPr defaultSize="0" print="0" autoFill="0" autoPict="0" macro="[0]!RemoveDetailRQ">
                <anchor moveWithCells="1" sizeWithCells="1">
                  <from>
                    <xdr:col>2</xdr:col>
                    <xdr:colOff>1495425</xdr:colOff>
                    <xdr:row>0</xdr:row>
                    <xdr:rowOff>0</xdr:rowOff>
                  </from>
                  <to>
                    <xdr:col>2</xdr:col>
                    <xdr:colOff>2333625</xdr:colOff>
                    <xdr:row>0</xdr:row>
                    <xdr:rowOff>0</xdr:rowOff>
                  </to>
                </anchor>
              </controlPr>
            </control>
          </mc:Choice>
        </mc:AlternateContent>
        <mc:AlternateContent xmlns:mc="http://schemas.openxmlformats.org/markup-compatibility/2006">
          <mc:Choice Requires="x14">
            <control shapeId="1137" r:id="rId28" name="Button 113">
              <controlPr defaultSize="0" print="0" autoFill="0" autoPict="0" macro="[0]!AddActionItem">
                <anchor moveWithCells="1" sizeWithCells="1">
                  <from>
                    <xdr:col>3</xdr:col>
                    <xdr:colOff>514350</xdr:colOff>
                    <xdr:row>0</xdr:row>
                    <xdr:rowOff>0</xdr:rowOff>
                  </from>
                  <to>
                    <xdr:col>4</xdr:col>
                    <xdr:colOff>514350</xdr:colOff>
                    <xdr:row>0</xdr:row>
                    <xdr:rowOff>0</xdr:rowOff>
                  </to>
                </anchor>
              </controlPr>
            </control>
          </mc:Choice>
        </mc:AlternateContent>
        <mc:AlternateContent xmlns:mc="http://schemas.openxmlformats.org/markup-compatibility/2006">
          <mc:Choice Requires="x14">
            <control shapeId="1138" r:id="rId29" name="Button 114">
              <controlPr defaultSize="0" print="0" autoFill="0" autoPict="0" macro="[0]!AddTerm">
                <anchor moveWithCells="1" sizeWithCells="1">
                  <from>
                    <xdr:col>2</xdr:col>
                    <xdr:colOff>2438400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139" r:id="rId30" name="Button 115">
              <controlPr defaultSize="0" print="0" autoFill="0" autoPict="0" macro="[0]!AddNote">
                <anchor moveWithCells="1" sizeWithCells="1">
                  <from>
                    <xdr:col>3</xdr:col>
                    <xdr:colOff>514350</xdr:colOff>
                    <xdr:row>0</xdr:row>
                    <xdr:rowOff>0</xdr:rowOff>
                  </from>
                  <to>
                    <xdr:col>4</xdr:col>
                    <xdr:colOff>514350</xdr:colOff>
                    <xdr:row>0</xdr:row>
                    <xdr:rowOff>0</xdr:rowOff>
                  </to>
                </anchor>
              </controlPr>
            </control>
          </mc:Choice>
        </mc:AlternateContent>
        <mc:AlternateContent xmlns:mc="http://schemas.openxmlformats.org/markup-compatibility/2006">
          <mc:Choice Requires="x14">
            <control shapeId="1140" r:id="rId31" name="Button 116">
              <controlPr defaultSize="0" print="0" autoFill="0" autoPict="0" macro="[0]!GotoRemoved">
                <anchor moveWithCells="1" sizeWithCells="1">
                  <from>
                    <xdr:col>3</xdr:col>
                    <xdr:colOff>0</xdr:colOff>
                    <xdr:row>0</xdr:row>
                    <xdr:rowOff>0</xdr:rowOff>
                  </from>
                  <to>
                    <xdr:col>3</xdr:col>
                    <xdr:colOff>438150</xdr:colOff>
                    <xdr:row>0</xdr:row>
                    <xdr:rowOff>0</xdr:rowOff>
                  </to>
                </anchor>
              </controlPr>
            </control>
          </mc:Choice>
        </mc:AlternateContent>
        <mc:AlternateContent xmlns:mc="http://schemas.openxmlformats.org/markup-compatibility/2006">
          <mc:Choice Requires="x14">
            <control shapeId="1141" r:id="rId32" name="Button 117">
              <controlPr defaultSize="0" print="0" autoFill="0" autoPict="0" macro="[0]!GotoFlows">
                <anchor moveWithCells="1" sizeWithCells="1">
                  <from>
                    <xdr:col>3</xdr:col>
                    <xdr:colOff>0</xdr:colOff>
                    <xdr:row>0</xdr:row>
                    <xdr:rowOff>0</xdr:rowOff>
                  </from>
                  <to>
                    <xdr:col>3</xdr:col>
                    <xdr:colOff>438150</xdr:colOff>
                    <xdr:row>0</xdr:row>
                    <xdr:rowOff>0</xdr:rowOff>
                  </to>
                </anchor>
              </controlPr>
            </control>
          </mc:Choice>
        </mc:AlternateContent>
        <mc:AlternateContent xmlns:mc="http://schemas.openxmlformats.org/markup-compatibility/2006">
          <mc:Choice Requires="x14">
            <control shapeId="1142" r:id="rId33" name="Button 118">
              <controlPr defaultSize="0" print="0" autoFill="0" autoPict="0" macro="[0]!ReturntoGPAssumpDepConst">
                <anchor moveWithCells="1" sizeWithCells="1">
                  <from>
                    <xdr:col>2</xdr:col>
                    <xdr:colOff>2438400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143" r:id="rId34" name="Button 119">
              <controlPr defaultSize="0" print="0" autoFill="0" autoPict="0" macro="[0]!RemoveHLBR">
                <anchor moveWithCells="1" sizeWithCells="1">
                  <from>
                    <xdr:col>2</xdr:col>
                    <xdr:colOff>485775</xdr:colOff>
                    <xdr:row>0</xdr:row>
                    <xdr:rowOff>0</xdr:rowOff>
                  </from>
                  <to>
                    <xdr:col>2</xdr:col>
                    <xdr:colOff>1390650</xdr:colOff>
                    <xdr:row>0</xdr:row>
                    <xdr:rowOff>0</xdr:rowOff>
                  </to>
                </anchor>
              </controlPr>
            </control>
          </mc:Choice>
        </mc:AlternateContent>
        <mc:AlternateContent xmlns:mc="http://schemas.openxmlformats.org/markup-compatibility/2006">
          <mc:Choice Requires="x14">
            <control shapeId="1144" r:id="rId35" name="Button 120">
              <controlPr defaultSize="0" print="0" autoFill="0" autoPict="0" macro="[0]!AddDetailFormat">
                <anchor moveWithCells="1" sizeWithCells="1">
                  <from>
                    <xdr:col>2</xdr:col>
                    <xdr:colOff>1476375</xdr:colOff>
                    <xdr:row>0</xdr:row>
                    <xdr:rowOff>0</xdr:rowOff>
                  </from>
                  <to>
                    <xdr:col>2</xdr:col>
                    <xdr:colOff>2314575</xdr:colOff>
                    <xdr:row>0</xdr:row>
                    <xdr:rowOff>0</xdr:rowOff>
                  </to>
                </anchor>
              </controlPr>
            </control>
          </mc:Choice>
        </mc:AlternateContent>
        <mc:AlternateContent xmlns:mc="http://schemas.openxmlformats.org/markup-compatibility/2006">
          <mc:Choice Requires="x14">
            <control shapeId="1145" r:id="rId36" name="Button 121">
              <controlPr defaultSize="0" print="0" autoFill="0" autoPict="0">
                <anchor moveWithCells="1" sizeWithCells="1">
                  <from>
                    <xdr:col>2</xdr:col>
                    <xdr:colOff>1495425</xdr:colOff>
                    <xdr:row>0</xdr:row>
                    <xdr:rowOff>0</xdr:rowOff>
                  </from>
                  <to>
                    <xdr:col>2</xdr:col>
                    <xdr:colOff>2333625</xdr:colOff>
                    <xdr:row>0</xdr:row>
                    <xdr:rowOff>0</xdr:rowOff>
                  </to>
                </anchor>
              </controlPr>
            </control>
          </mc:Choice>
        </mc:AlternateContent>
        <mc:AlternateContent xmlns:mc="http://schemas.openxmlformats.org/markup-compatibility/2006">
          <mc:Choice Requires="x14">
            <control shapeId="1173" r:id="rId37" name="Button 149">
              <controlPr defaultSize="0" print="0" autoFill="0" autoPict="0" macro="[0]!AddAsp">
                <anchor moveWithCells="1" sizeWithCells="1">
                  <from>
                    <xdr:col>2</xdr:col>
                    <xdr:colOff>2028825</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174" r:id="rId38" name="Button 150">
              <controlPr defaultSize="0" print="0" autoFill="0" autoPict="0" macro="[0]!ConvertAsp">
                <anchor moveWithCells="1" sizeWithCells="1">
                  <from>
                    <xdr:col>2</xdr:col>
                    <xdr:colOff>2057400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175" r:id="rId39" name="Button 151">
              <controlPr defaultSize="0" print="0" autoFill="0" autoPict="0" macro="[0]!AddGPFromEPICSWorksheet">
                <anchor>
                  <from>
                    <xdr:col>1</xdr:col>
                    <xdr:colOff>466725</xdr:colOff>
                    <xdr:row>0</xdr:row>
                    <xdr:rowOff>9525</xdr:rowOff>
                  </from>
                  <to>
                    <xdr:col>2</xdr:col>
                    <xdr:colOff>466725</xdr:colOff>
                    <xdr:row>0</xdr:row>
                    <xdr:rowOff>209550</xdr:rowOff>
                  </to>
                </anchor>
              </controlPr>
            </control>
          </mc:Choice>
        </mc:AlternateContent>
        <mc:AlternateContent xmlns:mc="http://schemas.openxmlformats.org/markup-compatibility/2006">
          <mc:Choice Requires="x14">
            <control shapeId="1176" r:id="rId40" name="Button 152">
              <controlPr defaultSize="0" print="0" autoFill="0" autoPict="0" macro="[0]!AddRequirement">
                <anchor>
                  <from>
                    <xdr:col>0</xdr:col>
                    <xdr:colOff>0</xdr:colOff>
                    <xdr:row>0</xdr:row>
                    <xdr:rowOff>9525</xdr:rowOff>
                  </from>
                  <to>
                    <xdr:col>1</xdr:col>
                    <xdr:colOff>457200</xdr:colOff>
                    <xdr:row>0</xdr:row>
                    <xdr:rowOff>209550</xdr:rowOff>
                  </to>
                </anchor>
              </controlPr>
            </control>
          </mc:Choice>
        </mc:AlternateContent>
        <mc:AlternateContent xmlns:mc="http://schemas.openxmlformats.org/markup-compatibility/2006">
          <mc:Choice Requires="x14">
            <control shapeId="1179" r:id="rId41" name="Button 155">
              <controlPr defaultSize="0" print="0" autoFill="0" autoPict="0" macro="[0]!AddConstraintFromEPICSWorksheet">
                <anchor>
                  <from>
                    <xdr:col>3</xdr:col>
                    <xdr:colOff>1400175</xdr:colOff>
                    <xdr:row>0</xdr:row>
                    <xdr:rowOff>9525</xdr:rowOff>
                  </from>
                  <to>
                    <xdr:col>3</xdr:col>
                    <xdr:colOff>2581275</xdr:colOff>
                    <xdr:row>0</xdr:row>
                    <xdr:rowOff>209550</xdr:rowOff>
                  </to>
                </anchor>
              </controlPr>
            </control>
          </mc:Choice>
        </mc:AlternateContent>
        <mc:AlternateContent xmlns:mc="http://schemas.openxmlformats.org/markup-compatibility/2006">
          <mc:Choice Requires="x14">
            <control shapeId="1180" r:id="rId42" name="Button 156">
              <controlPr defaultSize="0" print="0" autoFill="0" autoPict="0" macro="[0]!ConvertToGP">
                <anchor>
                  <from>
                    <xdr:col>1</xdr:col>
                    <xdr:colOff>466725</xdr:colOff>
                    <xdr:row>0</xdr:row>
                    <xdr:rowOff>219075</xdr:rowOff>
                  </from>
                  <to>
                    <xdr:col>2</xdr:col>
                    <xdr:colOff>466725</xdr:colOff>
                    <xdr:row>1</xdr:row>
                    <xdr:rowOff>0</xdr:rowOff>
                  </to>
                </anchor>
              </controlPr>
            </control>
          </mc:Choice>
        </mc:AlternateContent>
        <mc:AlternateContent xmlns:mc="http://schemas.openxmlformats.org/markup-compatibility/2006">
          <mc:Choice Requires="x14">
            <control shapeId="1181" r:id="rId43" name="Button 157">
              <controlPr defaultSize="0" print="0" autoFill="0" autoPict="0" macro="[0]!ConvertToDependency">
                <anchor>
                  <from>
                    <xdr:col>3</xdr:col>
                    <xdr:colOff>190500</xdr:colOff>
                    <xdr:row>0</xdr:row>
                    <xdr:rowOff>219075</xdr:rowOff>
                  </from>
                  <to>
                    <xdr:col>3</xdr:col>
                    <xdr:colOff>1381125</xdr:colOff>
                    <xdr:row>1</xdr:row>
                    <xdr:rowOff>0</xdr:rowOff>
                  </to>
                </anchor>
              </controlPr>
            </control>
          </mc:Choice>
        </mc:AlternateContent>
        <mc:AlternateContent xmlns:mc="http://schemas.openxmlformats.org/markup-compatibility/2006">
          <mc:Choice Requires="x14">
            <control shapeId="1182" r:id="rId44" name="Button 158">
              <controlPr defaultSize="0" print="0" autoFill="0" autoPict="0" macro="[0]!ConvertToConstraint">
                <anchor>
                  <from>
                    <xdr:col>3</xdr:col>
                    <xdr:colOff>1400175</xdr:colOff>
                    <xdr:row>0</xdr:row>
                    <xdr:rowOff>219075</xdr:rowOff>
                  </from>
                  <to>
                    <xdr:col>3</xdr:col>
                    <xdr:colOff>2581275</xdr:colOff>
                    <xdr:row>1</xdr:row>
                    <xdr:rowOff>0</xdr:rowOff>
                  </to>
                </anchor>
              </controlPr>
            </control>
          </mc:Choice>
        </mc:AlternateContent>
        <mc:AlternateContent xmlns:mc="http://schemas.openxmlformats.org/markup-compatibility/2006">
          <mc:Choice Requires="x14">
            <control shapeId="1184" r:id="rId45" name="Button 160">
              <controlPr defaultSize="0" print="0" autoFill="0" autoPict="0" macro="[0]!RemoveRequirement">
                <anchor>
                  <from>
                    <xdr:col>0</xdr:col>
                    <xdr:colOff>0</xdr:colOff>
                    <xdr:row>0</xdr:row>
                    <xdr:rowOff>219075</xdr:rowOff>
                  </from>
                  <to>
                    <xdr:col>1</xdr:col>
                    <xdr:colOff>457200</xdr:colOff>
                    <xdr:row>1</xdr:row>
                    <xdr:rowOff>0</xdr:rowOff>
                  </to>
                </anchor>
              </controlPr>
            </control>
          </mc:Choice>
        </mc:AlternateContent>
        <mc:AlternateContent xmlns:mc="http://schemas.openxmlformats.org/markup-compatibility/2006">
          <mc:Choice Requires="x14">
            <control shapeId="1187" r:id="rId46" name="Button 163">
              <controlPr defaultSize="0" print="0" autoFill="0" autoPict="0" macro="[0]!AddAssumptionFromEPICSWorksheet">
                <anchor>
                  <from>
                    <xdr:col>2</xdr:col>
                    <xdr:colOff>476250</xdr:colOff>
                    <xdr:row>0</xdr:row>
                    <xdr:rowOff>9525</xdr:rowOff>
                  </from>
                  <to>
                    <xdr:col>3</xdr:col>
                    <xdr:colOff>190500</xdr:colOff>
                    <xdr:row>0</xdr:row>
                    <xdr:rowOff>209550</xdr:rowOff>
                  </to>
                </anchor>
              </controlPr>
            </control>
          </mc:Choice>
        </mc:AlternateContent>
        <mc:AlternateContent xmlns:mc="http://schemas.openxmlformats.org/markup-compatibility/2006">
          <mc:Choice Requires="x14">
            <control shapeId="1188" r:id="rId47" name="Button 164">
              <controlPr defaultSize="0" print="0" autoFill="0" autoPict="0" macro="[0]!ConvertToAssumption">
                <anchor>
                  <from>
                    <xdr:col>2</xdr:col>
                    <xdr:colOff>476250</xdr:colOff>
                    <xdr:row>0</xdr:row>
                    <xdr:rowOff>219075</xdr:rowOff>
                  </from>
                  <to>
                    <xdr:col>3</xdr:col>
                    <xdr:colOff>190500</xdr:colOff>
                    <xdr:row>1</xdr:row>
                    <xdr:rowOff>0</xdr:rowOff>
                  </to>
                </anchor>
              </controlPr>
            </control>
          </mc:Choice>
        </mc:AlternateContent>
        <mc:AlternateContent xmlns:mc="http://schemas.openxmlformats.org/markup-compatibility/2006">
          <mc:Choice Requires="x14">
            <control shapeId="1189" r:id="rId48" name="Button 165">
              <controlPr defaultSize="0" print="0" autoFill="0" autoPict="0" macro="[0]!AddDependencyFromEPICSWorksheet">
                <anchor>
                  <from>
                    <xdr:col>3</xdr:col>
                    <xdr:colOff>190500</xdr:colOff>
                    <xdr:row>0</xdr:row>
                    <xdr:rowOff>9525</xdr:rowOff>
                  </from>
                  <to>
                    <xdr:col>3</xdr:col>
                    <xdr:colOff>1381125</xdr:colOff>
                    <xdr:row>0</xdr:row>
                    <xdr:rowOff>209550</xdr:rowOff>
                  </to>
                </anchor>
              </controlPr>
            </control>
          </mc:Choice>
        </mc:AlternateContent>
        <mc:AlternateContent xmlns:mc="http://schemas.openxmlformats.org/markup-compatibility/2006">
          <mc:Choice Requires="x14">
            <control shapeId="1190" r:id="rId49" name="Button 166">
              <controlPr defaultSize="0" print="0" autoFill="0" autoPict="0" macro="[0]!AddActionItem">
                <anchor>
                  <from>
                    <xdr:col>4</xdr:col>
                    <xdr:colOff>19050</xdr:colOff>
                    <xdr:row>0</xdr:row>
                    <xdr:rowOff>219075</xdr:rowOff>
                  </from>
                  <to>
                    <xdr:col>4</xdr:col>
                    <xdr:colOff>1209675</xdr:colOff>
                    <xdr:row>1</xdr:row>
                    <xdr:rowOff>0</xdr:rowOff>
                  </to>
                </anchor>
              </controlPr>
            </control>
          </mc:Choice>
        </mc:AlternateContent>
        <mc:AlternateContent xmlns:mc="http://schemas.openxmlformats.org/markup-compatibility/2006">
          <mc:Choice Requires="x14">
            <control shapeId="1198" r:id="rId50" name="Button 174">
              <controlPr defaultSize="0" print="0" autoFill="0" autoPict="0" macro="[0]!MoveUpEPICSRow">
                <anchor>
                  <from>
                    <xdr:col>4</xdr:col>
                    <xdr:colOff>1219200</xdr:colOff>
                    <xdr:row>0</xdr:row>
                    <xdr:rowOff>9525</xdr:rowOff>
                  </from>
                  <to>
                    <xdr:col>4</xdr:col>
                    <xdr:colOff>2400300</xdr:colOff>
                    <xdr:row>0</xdr:row>
                    <xdr:rowOff>209550</xdr:rowOff>
                  </to>
                </anchor>
              </controlPr>
            </control>
          </mc:Choice>
        </mc:AlternateContent>
        <mc:AlternateContent xmlns:mc="http://schemas.openxmlformats.org/markup-compatibility/2006">
          <mc:Choice Requires="x14">
            <control shapeId="1199" r:id="rId51" name="Button 175">
              <controlPr defaultSize="0" print="0" autoFill="0" autoPict="0" macro="[0]!MoveDownEPICSRow">
                <anchor>
                  <from>
                    <xdr:col>4</xdr:col>
                    <xdr:colOff>1219200</xdr:colOff>
                    <xdr:row>0</xdr:row>
                    <xdr:rowOff>219075</xdr:rowOff>
                  </from>
                  <to>
                    <xdr:col>4</xdr:col>
                    <xdr:colOff>2400300</xdr:colOff>
                    <xdr:row>1</xdr:row>
                    <xdr:rowOff>0</xdr:rowOff>
                  </to>
                </anchor>
              </controlPr>
            </control>
          </mc:Choice>
        </mc:AlternateContent>
        <mc:AlternateContent xmlns:mc="http://schemas.openxmlformats.org/markup-compatibility/2006">
          <mc:Choice Requires="x14">
            <control shapeId="1206" r:id="rId52" name="Button 182">
              <controlPr defaultSize="0" print="0" autoFill="0" autoPict="0" macro="[0]!AddDefinition" altText="Add Term/Definition">
                <anchor>
                  <from>
                    <xdr:col>4</xdr:col>
                    <xdr:colOff>19050</xdr:colOff>
                    <xdr:row>0</xdr:row>
                    <xdr:rowOff>9525</xdr:rowOff>
                  </from>
                  <to>
                    <xdr:col>4</xdr:col>
                    <xdr:colOff>1209675</xdr:colOff>
                    <xdr:row>0</xdr:row>
                    <xdr:rowOff>209550</xdr:rowOff>
                  </to>
                </anchor>
              </controlPr>
            </control>
          </mc:Choice>
        </mc:AlternateContent>
        <mc:AlternateContent xmlns:mc="http://schemas.openxmlformats.org/markup-compatibility/2006">
          <mc:Choice Requires="x14">
            <control shapeId="1215" r:id="rId53" name="Button 191">
              <controlPr defaultSize="0" print="0" autoFill="0" autoPict="0" macro="[0]!CreateStandardBRD">
                <anchor>
                  <from>
                    <xdr:col>4</xdr:col>
                    <xdr:colOff>2409825</xdr:colOff>
                    <xdr:row>0</xdr:row>
                    <xdr:rowOff>219075</xdr:rowOff>
                  </from>
                  <to>
                    <xdr:col>5</xdr:col>
                    <xdr:colOff>571500</xdr:colOff>
                    <xdr:row>1</xdr:row>
                    <xdr:rowOff>0</xdr:rowOff>
                  </to>
                </anchor>
              </controlPr>
            </control>
          </mc:Choice>
        </mc:AlternateContent>
        <mc:AlternateContent xmlns:mc="http://schemas.openxmlformats.org/markup-compatibility/2006">
          <mc:Choice Requires="x14">
            <control shapeId="1219" r:id="rId54" name="Button 195">
              <controlPr defaultSize="0" print="0" autoFill="0" autoPict="0" macro="[0]!AddNewBlankSection">
                <anchor>
                  <from>
                    <xdr:col>4</xdr:col>
                    <xdr:colOff>2409825</xdr:colOff>
                    <xdr:row>0</xdr:row>
                    <xdr:rowOff>9525</xdr:rowOff>
                  </from>
                  <to>
                    <xdr:col>5</xdr:col>
                    <xdr:colOff>571500</xdr:colOff>
                    <xdr:row>0</xdr:row>
                    <xdr:rowOff>209550</xdr:rowOff>
                  </to>
                </anchor>
              </controlPr>
            </control>
          </mc:Choice>
        </mc:AlternateContent>
        <mc:AlternateContent xmlns:mc="http://schemas.openxmlformats.org/markup-compatibility/2006">
          <mc:Choice Requires="x14">
            <control shapeId="1224" r:id="rId55" name="Button 200">
              <controlPr defaultSize="0" print="0" autoFill="0" autoPict="0" macro="[0]!CopyRequirementsToMappingWorksheet" altText="Load All Requirements to Mapping Worksheet">
                <anchor>
                  <from>
                    <xdr:col>5</xdr:col>
                    <xdr:colOff>571500</xdr:colOff>
                    <xdr:row>0</xdr:row>
                    <xdr:rowOff>9525</xdr:rowOff>
                  </from>
                  <to>
                    <xdr:col>6</xdr:col>
                    <xdr:colOff>361950</xdr:colOff>
                    <xdr:row>1</xdr:row>
                    <xdr:rowOff>0</xdr:rowOff>
                  </to>
                </anchor>
              </controlPr>
            </control>
          </mc:Choice>
        </mc:AlternateContent>
        <mc:AlternateContent xmlns:mc="http://schemas.openxmlformats.org/markup-compatibility/2006">
          <mc:Choice Requires="x14">
            <control shapeId="1254" r:id="rId56" name="Button 230">
              <controlPr defaultSize="0" print="0" autoFill="0" autoPict="0" macro="[0]!AddRiskFromEPICSWorksheet">
                <anchor>
                  <from>
                    <xdr:col>3</xdr:col>
                    <xdr:colOff>2590800</xdr:colOff>
                    <xdr:row>0</xdr:row>
                    <xdr:rowOff>9525</xdr:rowOff>
                  </from>
                  <to>
                    <xdr:col>4</xdr:col>
                    <xdr:colOff>19050</xdr:colOff>
                    <xdr:row>0</xdr:row>
                    <xdr:rowOff>209550</xdr:rowOff>
                  </to>
                </anchor>
              </controlPr>
            </control>
          </mc:Choice>
        </mc:AlternateContent>
        <mc:AlternateContent xmlns:mc="http://schemas.openxmlformats.org/markup-compatibility/2006">
          <mc:Choice Requires="x14">
            <control shapeId="1255" r:id="rId57" name="Button 231">
              <controlPr defaultSize="0" print="0" autoFill="0" autoPict="0" macro="[0]!ConvertToRisk">
                <anchor>
                  <from>
                    <xdr:col>3</xdr:col>
                    <xdr:colOff>2590800</xdr:colOff>
                    <xdr:row>0</xdr:row>
                    <xdr:rowOff>219075</xdr:rowOff>
                  </from>
                  <to>
                    <xdr:col>4</xdr:col>
                    <xdr:colOff>19050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ctionItemsSheet">
    <tabColor theme="4" tint="0.59999389629810485"/>
  </sheetPr>
  <dimension ref="A1:G2"/>
  <sheetViews>
    <sheetView zoomScaleNormal="100" workbookViewId="0">
      <pane ySplit="1" topLeftCell="A2" activePane="bottomLeft" state="frozenSplit"/>
      <selection pane="bottomLeft" activeCell="D2" sqref="D2"/>
    </sheetView>
  </sheetViews>
  <sheetFormatPr defaultRowHeight="15" x14ac:dyDescent="0.25"/>
  <cols>
    <col min="1" max="1" width="10.5703125" style="24" customWidth="1"/>
    <col min="2" max="2" width="58" style="24" customWidth="1"/>
    <col min="3" max="3" width="11.7109375" style="71" customWidth="1"/>
    <col min="4" max="4" width="26" style="24" customWidth="1"/>
    <col min="5" max="5" width="14.28515625" style="72" customWidth="1"/>
    <col min="6" max="6" width="38.140625" style="24" customWidth="1"/>
    <col min="7" max="7" width="16.28515625" style="72" customWidth="1"/>
    <col min="8" max="16384" width="9.140625" style="70"/>
  </cols>
  <sheetData>
    <row r="1" spans="1:7" ht="22.5" customHeight="1" thickBot="1" x14ac:dyDescent="0.3">
      <c r="A1" s="14" t="s">
        <v>540</v>
      </c>
      <c r="B1" s="14" t="s">
        <v>2</v>
      </c>
      <c r="C1" s="14" t="s">
        <v>6</v>
      </c>
      <c r="D1" s="14" t="s">
        <v>26</v>
      </c>
      <c r="E1" s="14" t="s">
        <v>27</v>
      </c>
      <c r="F1" s="14" t="s">
        <v>28</v>
      </c>
      <c r="G1" s="14" t="s">
        <v>81</v>
      </c>
    </row>
    <row r="2" spans="1:7" ht="30" x14ac:dyDescent="0.25">
      <c r="B2" s="24" t="s">
        <v>714</v>
      </c>
      <c r="D2" s="24" t="s">
        <v>715</v>
      </c>
    </row>
  </sheetData>
  <autoFilter ref="A1:G1"/>
  <customSheetViews>
    <customSheetView guid="{0FDF722F-6BE5-40CC-8643-96FA7475187B}" scale="115">
      <selection activeCell="G4" sqref="G4"/>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angeLogSheet">
    <tabColor theme="4" tint="0.59999389629810485"/>
  </sheetPr>
  <dimension ref="A1:O1"/>
  <sheetViews>
    <sheetView zoomScale="89" zoomScaleNormal="89" workbookViewId="0">
      <pane ySplit="1" topLeftCell="A2" activePane="bottomLeft" state="frozen"/>
      <selection activeCell="K16" sqref="K16"/>
      <selection pane="bottomLeft" activeCell="A2" sqref="A2"/>
    </sheetView>
  </sheetViews>
  <sheetFormatPr defaultRowHeight="15" x14ac:dyDescent="0.25"/>
  <cols>
    <col min="1" max="1" width="12" style="48" customWidth="1"/>
    <col min="2" max="2" width="18.42578125" style="48" customWidth="1"/>
    <col min="3" max="3" width="20.42578125" style="48" customWidth="1"/>
    <col min="4" max="4" width="52.5703125" style="48" customWidth="1"/>
    <col min="5" max="5" width="45.7109375" style="48" customWidth="1"/>
    <col min="6" max="6" width="18.5703125" style="48" customWidth="1"/>
    <col min="7" max="7" width="24.140625" style="48" customWidth="1"/>
    <col min="8" max="8" width="17.28515625" style="48" customWidth="1"/>
    <col min="9" max="9" width="20.28515625" style="105" customWidth="1"/>
    <col min="10" max="10" width="29.85546875" style="105" customWidth="1"/>
    <col min="11" max="11" width="44.28515625" style="48" customWidth="1"/>
    <col min="12" max="12" width="24.28515625" style="48" customWidth="1"/>
    <col min="13" max="13" width="36.5703125" style="48" customWidth="1"/>
    <col min="14" max="14" width="12.28515625" style="48" customWidth="1"/>
    <col min="15" max="15" width="13.140625" style="48" customWidth="1"/>
    <col min="16" max="16384" width="9.140625" style="48"/>
  </cols>
  <sheetData>
    <row r="1" spans="1:15" s="46" customFormat="1" ht="71.25" customHeight="1" thickBot="1" x14ac:dyDescent="0.3">
      <c r="A1" s="14" t="s">
        <v>540</v>
      </c>
      <c r="B1" s="14" t="s">
        <v>643</v>
      </c>
      <c r="C1" s="14" t="s">
        <v>550</v>
      </c>
      <c r="D1" s="19" t="s">
        <v>599</v>
      </c>
      <c r="E1" s="27" t="s">
        <v>543</v>
      </c>
      <c r="F1" s="19" t="s">
        <v>549</v>
      </c>
      <c r="G1" s="12" t="s">
        <v>548</v>
      </c>
      <c r="H1" s="19" t="s">
        <v>546</v>
      </c>
      <c r="I1" s="103" t="s">
        <v>576</v>
      </c>
      <c r="J1" s="103" t="s">
        <v>594</v>
      </c>
      <c r="K1" s="19" t="s">
        <v>557</v>
      </c>
      <c r="L1" s="12" t="s">
        <v>547</v>
      </c>
      <c r="M1" s="19" t="s">
        <v>577</v>
      </c>
      <c r="N1" s="19" t="s">
        <v>544</v>
      </c>
      <c r="O1" s="19" t="s">
        <v>545</v>
      </c>
    </row>
  </sheetData>
  <autoFilter ref="A1:O1"/>
  <customSheetViews>
    <customSheetView guid="{0FDF722F-6BE5-40CC-8643-96FA7475187B}">
      <selection activeCell="B12" sqref="B12"/>
      <pageMargins left="0.7" right="0.7" top="0.75" bottom="0.75" header="0.3" footer="0.3"/>
      <pageSetup orientation="portrait" r:id="rId1"/>
    </customSheetView>
  </customSheetView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S_InstructionsSheet">
    <tabColor theme="9" tint="0.39997558519241921"/>
  </sheetPr>
  <dimension ref="A1:E12"/>
  <sheetViews>
    <sheetView workbookViewId="0">
      <selection activeCell="E5" sqref="E5"/>
    </sheetView>
  </sheetViews>
  <sheetFormatPr defaultRowHeight="15" x14ac:dyDescent="0.25"/>
  <cols>
    <col min="1" max="1" width="6.5703125" style="6" customWidth="1"/>
    <col min="2" max="2" width="24.85546875" style="6" customWidth="1"/>
    <col min="3" max="3" width="17.28515625" style="6" customWidth="1"/>
    <col min="4" max="4" width="22.5703125" style="6" customWidth="1"/>
    <col min="5" max="5" width="40.42578125" style="6" customWidth="1"/>
    <col min="6" max="16384" width="9.140625" style="6"/>
  </cols>
  <sheetData>
    <row r="1" spans="1:5" ht="15.75" thickBot="1" x14ac:dyDescent="0.3"/>
    <row r="2" spans="1:5" ht="18.75" x14ac:dyDescent="0.25">
      <c r="A2" s="5"/>
      <c r="B2" s="270" t="s">
        <v>33</v>
      </c>
      <c r="C2" s="271"/>
      <c r="D2" s="271"/>
      <c r="E2" s="272"/>
    </row>
    <row r="3" spans="1:5" x14ac:dyDescent="0.25">
      <c r="A3" s="5"/>
      <c r="B3" s="265" t="s">
        <v>34</v>
      </c>
      <c r="C3" s="266"/>
      <c r="D3" s="266"/>
      <c r="E3" s="267"/>
    </row>
    <row r="4" spans="1:5" ht="31.5" x14ac:dyDescent="0.25">
      <c r="A4" s="5"/>
      <c r="B4" s="7"/>
      <c r="C4" s="261" t="s">
        <v>35</v>
      </c>
      <c r="D4" s="261"/>
      <c r="E4" s="8" t="s">
        <v>36</v>
      </c>
    </row>
    <row r="5" spans="1:5" ht="30" x14ac:dyDescent="0.25">
      <c r="A5" s="5"/>
      <c r="B5" s="7"/>
      <c r="C5" s="261" t="s">
        <v>37</v>
      </c>
      <c r="D5" s="261"/>
      <c r="E5" s="16" t="s">
        <v>38</v>
      </c>
    </row>
    <row r="6" spans="1:5" ht="15.75" x14ac:dyDescent="0.25">
      <c r="A6" s="5"/>
      <c r="B6" s="262" t="s">
        <v>39</v>
      </c>
      <c r="C6" s="263"/>
      <c r="D6" s="263"/>
      <c r="E6" s="264"/>
    </row>
    <row r="7" spans="1:5" x14ac:dyDescent="0.25">
      <c r="A7" s="5"/>
      <c r="B7" s="265" t="s">
        <v>40</v>
      </c>
      <c r="C7" s="266"/>
      <c r="D7" s="266"/>
      <c r="E7" s="267"/>
    </row>
    <row r="8" spans="1:5" ht="66.75" customHeight="1" x14ac:dyDescent="0.25">
      <c r="A8" s="5"/>
      <c r="B8" s="9"/>
      <c r="C8" s="268" t="s">
        <v>41</v>
      </c>
      <c r="D8" s="268"/>
      <c r="E8" s="269"/>
    </row>
    <row r="9" spans="1:5" ht="180.75" customHeight="1" x14ac:dyDescent="0.25">
      <c r="A9" s="5"/>
      <c r="B9" s="7"/>
      <c r="C9" s="266" t="s">
        <v>79</v>
      </c>
      <c r="D9" s="266"/>
      <c r="E9" s="267"/>
    </row>
    <row r="10" spans="1:5" ht="105" customHeight="1" x14ac:dyDescent="0.25">
      <c r="A10" s="5"/>
      <c r="B10" s="9"/>
      <c r="C10" s="268" t="s">
        <v>80</v>
      </c>
      <c r="D10" s="268"/>
      <c r="E10" s="269"/>
    </row>
    <row r="11" spans="1:5" ht="51.75" customHeight="1" x14ac:dyDescent="0.25">
      <c r="A11" s="5"/>
      <c r="B11" s="265" t="s">
        <v>42</v>
      </c>
      <c r="C11" s="266"/>
      <c r="D11" s="266"/>
      <c r="E11" s="267"/>
    </row>
    <row r="12" spans="1:5" ht="71.25" customHeight="1" thickBot="1" x14ac:dyDescent="0.3">
      <c r="A12" s="5"/>
      <c r="B12" s="258" t="s">
        <v>43</v>
      </c>
      <c r="C12" s="259"/>
      <c r="D12" s="259"/>
      <c r="E12" s="260"/>
    </row>
  </sheetData>
  <mergeCells count="11">
    <mergeCell ref="B2:E2"/>
    <mergeCell ref="B3:E3"/>
    <mergeCell ref="C4:D4"/>
    <mergeCell ref="C10:E10"/>
    <mergeCell ref="B11:E11"/>
    <mergeCell ref="B12:E12"/>
    <mergeCell ref="C5:D5"/>
    <mergeCell ref="B6:E6"/>
    <mergeCell ref="B7:E7"/>
    <mergeCell ref="C8:E8"/>
    <mergeCell ref="C9:E9"/>
  </mergeCells>
  <hyperlinks>
    <hyperlink ref="E5" r:id="rId1"/>
    <hyperlink ref="E4" r:id="rId2" display="Instructions for helper App"/>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S_RequirementsMappingSheet">
    <tabColor theme="9" tint="0.39997558519241921"/>
  </sheetPr>
  <dimension ref="A1:I18"/>
  <sheetViews>
    <sheetView showZeros="0" zoomScale="90" zoomScaleNormal="90" workbookViewId="0">
      <pane ySplit="3" topLeftCell="A4" activePane="bottomLeft" state="frozen"/>
      <selection activeCell="G20" sqref="G20"/>
      <selection pane="bottomLeft" activeCell="A4" sqref="A4"/>
    </sheetView>
  </sheetViews>
  <sheetFormatPr defaultRowHeight="15" x14ac:dyDescent="0.25"/>
  <cols>
    <col min="1" max="1" width="16.7109375" style="51" customWidth="1"/>
    <col min="2" max="2" width="15.5703125" style="23" customWidth="1"/>
    <col min="3" max="3" width="25.42578125" style="23" customWidth="1"/>
    <col min="4" max="4" width="52.85546875" style="23" customWidth="1"/>
    <col min="5" max="5" width="34.28515625" style="22" customWidth="1"/>
    <col min="6" max="6" width="62.85546875" style="22" customWidth="1"/>
    <col min="7" max="8" width="16.7109375" style="22" customWidth="1"/>
    <col min="9" max="9" width="19.7109375" style="22" customWidth="1"/>
    <col min="10" max="16384" width="9.140625" style="22"/>
  </cols>
  <sheetData>
    <row r="1" spans="1:9" ht="67.5" customHeight="1" x14ac:dyDescent="0.25">
      <c r="B1" s="273" t="s">
        <v>648</v>
      </c>
      <c r="C1" s="273"/>
      <c r="D1" s="273"/>
      <c r="E1" s="273"/>
      <c r="F1" s="273"/>
    </row>
    <row r="2" spans="1:9" s="24" customFormat="1" ht="18.75" x14ac:dyDescent="0.25">
      <c r="A2" s="274" t="s">
        <v>578</v>
      </c>
      <c r="B2" s="275"/>
      <c r="C2" s="275"/>
      <c r="D2" s="275"/>
      <c r="E2" s="275"/>
      <c r="F2" s="276"/>
      <c r="G2" s="25"/>
      <c r="H2" s="26"/>
      <c r="I2" s="26"/>
    </row>
    <row r="3" spans="1:9" s="45" customFormat="1" ht="87" x14ac:dyDescent="0.25">
      <c r="A3" s="52" t="s">
        <v>572</v>
      </c>
      <c r="B3" s="42" t="s">
        <v>573</v>
      </c>
      <c r="C3" s="42" t="s">
        <v>571</v>
      </c>
      <c r="D3" s="42" t="s">
        <v>612</v>
      </c>
      <c r="E3" s="43" t="s">
        <v>649</v>
      </c>
      <c r="F3" s="43" t="s">
        <v>72</v>
      </c>
      <c r="G3" s="44"/>
    </row>
    <row r="4" spans="1:9" ht="120" x14ac:dyDescent="0.25">
      <c r="A4" s="49" t="s">
        <v>666</v>
      </c>
      <c r="B4" s="49" t="s">
        <v>112</v>
      </c>
      <c r="C4" s="49" t="s">
        <v>707</v>
      </c>
      <c r="D4" s="49" t="s">
        <v>708</v>
      </c>
      <c r="E4" s="22" t="s">
        <v>536</v>
      </c>
      <c r="F4" s="49"/>
    </row>
    <row r="5" spans="1:9" ht="105" x14ac:dyDescent="0.25">
      <c r="A5" s="49" t="s">
        <v>725</v>
      </c>
      <c r="B5" s="49" t="s">
        <v>108</v>
      </c>
      <c r="C5" s="209" t="s">
        <v>687</v>
      </c>
      <c r="D5" s="209" t="s">
        <v>678</v>
      </c>
      <c r="F5" s="49"/>
    </row>
    <row r="6" spans="1:9" ht="60" x14ac:dyDescent="0.25">
      <c r="A6" s="49" t="s">
        <v>726</v>
      </c>
      <c r="B6" s="49" t="s">
        <v>108</v>
      </c>
      <c r="C6" s="209" t="s">
        <v>676</v>
      </c>
      <c r="D6" s="209" t="s">
        <v>684</v>
      </c>
      <c r="F6" s="49"/>
    </row>
    <row r="7" spans="1:9" ht="45" x14ac:dyDescent="0.25">
      <c r="A7" s="49" t="s">
        <v>727</v>
      </c>
      <c r="B7" s="49" t="s">
        <v>108</v>
      </c>
      <c r="C7" s="209" t="s">
        <v>691</v>
      </c>
      <c r="D7" s="209" t="s">
        <v>693</v>
      </c>
      <c r="F7" s="49"/>
    </row>
    <row r="8" spans="1:9" ht="75" x14ac:dyDescent="0.25">
      <c r="A8" s="49" t="s">
        <v>728</v>
      </c>
      <c r="B8" s="49" t="s">
        <v>108</v>
      </c>
      <c r="C8" s="209" t="s">
        <v>692</v>
      </c>
      <c r="D8" s="209" t="s">
        <v>694</v>
      </c>
      <c r="F8" s="49"/>
    </row>
    <row r="9" spans="1:9" ht="105" x14ac:dyDescent="0.25">
      <c r="A9" s="49" t="s">
        <v>729</v>
      </c>
      <c r="B9" s="49" t="s">
        <v>108</v>
      </c>
      <c r="C9" s="209" t="s">
        <v>686</v>
      </c>
      <c r="D9" s="209" t="s">
        <v>688</v>
      </c>
      <c r="F9" s="49"/>
    </row>
    <row r="10" spans="1:9" ht="60" x14ac:dyDescent="0.25">
      <c r="A10" s="49" t="s">
        <v>730</v>
      </c>
      <c r="B10" s="49" t="s">
        <v>108</v>
      </c>
      <c r="C10" s="209" t="s">
        <v>722</v>
      </c>
      <c r="D10" s="209" t="s">
        <v>695</v>
      </c>
      <c r="F10" s="49"/>
    </row>
    <row r="11" spans="1:9" ht="90" x14ac:dyDescent="0.25">
      <c r="A11" s="49" t="s">
        <v>731</v>
      </c>
      <c r="B11" s="49" t="s">
        <v>108</v>
      </c>
      <c r="C11" s="209" t="s">
        <v>723</v>
      </c>
      <c r="D11" s="209" t="s">
        <v>696</v>
      </c>
      <c r="F11" s="49"/>
    </row>
    <row r="12" spans="1:9" ht="240" x14ac:dyDescent="0.25">
      <c r="A12" s="49" t="s">
        <v>699</v>
      </c>
      <c r="B12" s="49" t="s">
        <v>112</v>
      </c>
      <c r="C12" s="209" t="s">
        <v>700</v>
      </c>
      <c r="D12" s="209" t="s">
        <v>724</v>
      </c>
      <c r="E12" s="22" t="s">
        <v>536</v>
      </c>
      <c r="F12" s="49"/>
    </row>
    <row r="13" spans="1:9" ht="75" x14ac:dyDescent="0.25">
      <c r="A13" s="49" t="s">
        <v>732</v>
      </c>
      <c r="B13" s="49" t="s">
        <v>108</v>
      </c>
      <c r="C13" s="209" t="s">
        <v>701</v>
      </c>
      <c r="D13" s="209" t="s">
        <v>716</v>
      </c>
      <c r="F13" s="49"/>
    </row>
    <row r="14" spans="1:9" ht="75" x14ac:dyDescent="0.25">
      <c r="A14" s="49" t="s">
        <v>733</v>
      </c>
      <c r="B14" s="49" t="s">
        <v>108</v>
      </c>
      <c r="C14" s="209" t="s">
        <v>702</v>
      </c>
      <c r="D14" s="209" t="s">
        <v>703</v>
      </c>
      <c r="F14" s="49"/>
    </row>
    <row r="15" spans="1:9" ht="105" x14ac:dyDescent="0.25">
      <c r="A15" s="49" t="s">
        <v>734</v>
      </c>
      <c r="B15" s="49" t="s">
        <v>108</v>
      </c>
      <c r="C15" s="209" t="s">
        <v>704</v>
      </c>
      <c r="D15" s="209" t="s">
        <v>705</v>
      </c>
      <c r="F15" s="49"/>
    </row>
    <row r="16" spans="1:9" ht="75" x14ac:dyDescent="0.25">
      <c r="A16" s="49" t="s">
        <v>706</v>
      </c>
      <c r="B16" s="49" t="s">
        <v>112</v>
      </c>
      <c r="C16" s="209" t="s">
        <v>670</v>
      </c>
      <c r="D16" s="49" t="s">
        <v>720</v>
      </c>
      <c r="E16" s="22" t="s">
        <v>536</v>
      </c>
      <c r="F16" s="49"/>
    </row>
    <row r="17" spans="1:6" ht="300" x14ac:dyDescent="0.25">
      <c r="A17" s="49" t="s">
        <v>735</v>
      </c>
      <c r="B17" s="49" t="s">
        <v>108</v>
      </c>
      <c r="C17" s="209" t="s">
        <v>709</v>
      </c>
      <c r="D17" s="209" t="s">
        <v>719</v>
      </c>
      <c r="F17" s="47"/>
    </row>
    <row r="18" spans="1:6" ht="255" x14ac:dyDescent="0.25">
      <c r="A18" s="49" t="s">
        <v>736</v>
      </c>
      <c r="B18" s="49" t="s">
        <v>108</v>
      </c>
      <c r="C18" s="49" t="s">
        <v>710</v>
      </c>
      <c r="D18" s="209" t="s">
        <v>721</v>
      </c>
      <c r="F18" s="47"/>
    </row>
  </sheetData>
  <autoFilter ref="A3:F3"/>
  <mergeCells count="2">
    <mergeCell ref="B1:F1"/>
    <mergeCell ref="A2:F2"/>
  </mergeCells>
  <dataValidations count="3">
    <dataValidation allowBlank="1" showInputMessage="1" showErrorMessage="1" prompt="Description of the Requirement" sqref="D3"/>
    <dataValidation type="list" allowBlank="1" showInputMessage="1" showErrorMessage="1" sqref="E4:E1048576">
      <formula1>Systems</formula1>
    </dataValidation>
    <dataValidation type="list" allowBlank="1" showInputMessage="1" showErrorMessage="1" sqref="B4:B18">
      <formula1>issueType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SystemsMappingRepeatRequirement">
                <anchor moveWithCells="1" sizeWithCells="1">
                  <from>
                    <xdr:col>0</xdr:col>
                    <xdr:colOff>9525</xdr:colOff>
                    <xdr:row>0</xdr:row>
                    <xdr:rowOff>9525</xdr:rowOff>
                  </from>
                  <to>
                    <xdr:col>0</xdr:col>
                    <xdr:colOff>1104900</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S_ImpactedSystemsSheet">
    <tabColor theme="9" tint="0.39997558519241921"/>
  </sheetPr>
  <dimension ref="A1:E478"/>
  <sheetViews>
    <sheetView workbookViewId="0">
      <pane ySplit="1" topLeftCell="A2" activePane="bottomLeft" state="frozenSplit"/>
      <selection pane="bottomLeft" activeCell="A4" sqref="A4"/>
    </sheetView>
  </sheetViews>
  <sheetFormatPr defaultRowHeight="15" x14ac:dyDescent="0.25"/>
  <cols>
    <col min="1" max="1" width="42.42578125" style="2" customWidth="1"/>
    <col min="2" max="2" width="17.5703125" style="13" customWidth="1"/>
    <col min="3" max="3" width="49" style="2" customWidth="1"/>
    <col min="4" max="4" width="47" style="2" customWidth="1"/>
    <col min="5" max="5" width="19.42578125" style="2" customWidth="1"/>
    <col min="6" max="16384" width="9.140625" style="2"/>
  </cols>
  <sheetData>
    <row r="1" spans="1:5" ht="22.5" customHeight="1" x14ac:dyDescent="0.25">
      <c r="A1" s="28" t="s">
        <v>71</v>
      </c>
      <c r="B1" s="29" t="s">
        <v>73</v>
      </c>
      <c r="C1" s="28" t="s">
        <v>74</v>
      </c>
      <c r="D1" s="192" t="s">
        <v>38</v>
      </c>
      <c r="E1" s="15"/>
    </row>
    <row r="2" spans="1:5" ht="30" x14ac:dyDescent="0.25">
      <c r="A2" s="5" t="s">
        <v>536</v>
      </c>
      <c r="B2" s="5"/>
      <c r="C2" s="5" t="s">
        <v>613</v>
      </c>
      <c r="D2" s="2" t="s">
        <v>627</v>
      </c>
    </row>
    <row r="3" spans="1:5" ht="45" x14ac:dyDescent="0.25">
      <c r="A3" s="5" t="s">
        <v>647</v>
      </c>
      <c r="B3" s="193"/>
      <c r="C3" s="2" t="s">
        <v>646</v>
      </c>
      <c r="D3" s="2" t="s">
        <v>626</v>
      </c>
    </row>
    <row r="4" spans="1:5" x14ac:dyDescent="0.25">
      <c r="A4" s="5"/>
      <c r="B4" s="193"/>
    </row>
    <row r="5" spans="1:5" x14ac:dyDescent="0.25">
      <c r="A5" s="5"/>
      <c r="B5" s="193"/>
    </row>
    <row r="6" spans="1:5" x14ac:dyDescent="0.25">
      <c r="A6" s="5"/>
      <c r="B6" s="193"/>
    </row>
    <row r="7" spans="1:5" x14ac:dyDescent="0.25">
      <c r="A7" s="5"/>
      <c r="B7" s="193"/>
    </row>
    <row r="8" spans="1:5" x14ac:dyDescent="0.25">
      <c r="A8" s="5"/>
      <c r="B8" s="193"/>
    </row>
    <row r="9" spans="1:5" x14ac:dyDescent="0.25">
      <c r="A9" s="5"/>
      <c r="B9" s="193"/>
    </row>
    <row r="10" spans="1:5" x14ac:dyDescent="0.25">
      <c r="A10" s="5"/>
      <c r="B10" s="193"/>
    </row>
    <row r="11" spans="1:5" x14ac:dyDescent="0.25">
      <c r="A11" s="5"/>
      <c r="B11" s="193"/>
    </row>
    <row r="12" spans="1:5" x14ac:dyDescent="0.25">
      <c r="A12" s="5"/>
      <c r="B12" s="193"/>
    </row>
    <row r="13" spans="1:5" x14ac:dyDescent="0.25">
      <c r="A13" s="5"/>
      <c r="B13" s="193"/>
    </row>
    <row r="14" spans="1:5" x14ac:dyDescent="0.25">
      <c r="A14" s="5"/>
      <c r="B14" s="193"/>
    </row>
    <row r="15" spans="1:5" x14ac:dyDescent="0.25">
      <c r="A15" s="5"/>
      <c r="B15" s="193"/>
    </row>
    <row r="16" spans="1:5" x14ac:dyDescent="0.25">
      <c r="A16" s="5"/>
      <c r="B16" s="193"/>
    </row>
    <row r="17" spans="1:2" x14ac:dyDescent="0.25">
      <c r="A17" s="5"/>
      <c r="B17" s="193"/>
    </row>
    <row r="18" spans="1:2" x14ac:dyDescent="0.25">
      <c r="A18" s="5"/>
      <c r="B18" s="193"/>
    </row>
    <row r="19" spans="1:2" x14ac:dyDescent="0.25">
      <c r="A19" s="5"/>
      <c r="B19" s="193"/>
    </row>
    <row r="20" spans="1:2" x14ac:dyDescent="0.25">
      <c r="A20" s="5"/>
      <c r="B20" s="193"/>
    </row>
    <row r="21" spans="1:2" x14ac:dyDescent="0.25">
      <c r="A21" s="5"/>
      <c r="B21" s="193"/>
    </row>
    <row r="22" spans="1:2" x14ac:dyDescent="0.25">
      <c r="A22" s="5"/>
      <c r="B22" s="193"/>
    </row>
    <row r="23" spans="1:2" x14ac:dyDescent="0.25">
      <c r="A23" s="5"/>
      <c r="B23" s="193"/>
    </row>
    <row r="24" spans="1:2" x14ac:dyDescent="0.25">
      <c r="A24" s="5"/>
      <c r="B24" s="193"/>
    </row>
    <row r="25" spans="1:2" x14ac:dyDescent="0.25">
      <c r="A25" s="5"/>
      <c r="B25" s="193"/>
    </row>
    <row r="26" spans="1:2" x14ac:dyDescent="0.25">
      <c r="A26" s="5"/>
      <c r="B26" s="193"/>
    </row>
    <row r="27" spans="1:2" x14ac:dyDescent="0.25">
      <c r="A27" s="5"/>
      <c r="B27" s="193"/>
    </row>
    <row r="28" spans="1:2" x14ac:dyDescent="0.25">
      <c r="A28" s="5"/>
      <c r="B28" s="193"/>
    </row>
    <row r="29" spans="1:2" x14ac:dyDescent="0.25">
      <c r="A29" s="5"/>
      <c r="B29" s="193"/>
    </row>
    <row r="30" spans="1:2" x14ac:dyDescent="0.25">
      <c r="A30" s="5"/>
      <c r="B30" s="193"/>
    </row>
    <row r="31" spans="1:2" x14ac:dyDescent="0.25">
      <c r="A31" s="5"/>
      <c r="B31" s="193"/>
    </row>
    <row r="32" spans="1:2" x14ac:dyDescent="0.25">
      <c r="A32" s="5"/>
      <c r="B32" s="193"/>
    </row>
    <row r="33" spans="1:2" x14ac:dyDescent="0.25">
      <c r="A33" s="5"/>
      <c r="B33" s="193"/>
    </row>
    <row r="34" spans="1:2" x14ac:dyDescent="0.25">
      <c r="A34" s="5"/>
      <c r="B34" s="193"/>
    </row>
    <row r="35" spans="1:2" x14ac:dyDescent="0.25">
      <c r="A35" s="5"/>
      <c r="B35" s="193"/>
    </row>
    <row r="36" spans="1:2" x14ac:dyDescent="0.25">
      <c r="A36" s="5"/>
      <c r="B36" s="193"/>
    </row>
    <row r="37" spans="1:2" x14ac:dyDescent="0.25">
      <c r="A37" s="5"/>
      <c r="B37" s="193"/>
    </row>
    <row r="38" spans="1:2" x14ac:dyDescent="0.25">
      <c r="A38" s="5"/>
      <c r="B38" s="193"/>
    </row>
    <row r="39" spans="1:2" x14ac:dyDescent="0.25">
      <c r="A39" s="5"/>
      <c r="B39" s="193"/>
    </row>
    <row r="40" spans="1:2" x14ac:dyDescent="0.25">
      <c r="A40" s="5"/>
      <c r="B40" s="193"/>
    </row>
    <row r="41" spans="1:2" x14ac:dyDescent="0.25">
      <c r="A41" s="5"/>
      <c r="B41" s="193"/>
    </row>
    <row r="42" spans="1:2" x14ac:dyDescent="0.25">
      <c r="A42" s="5"/>
      <c r="B42" s="193"/>
    </row>
    <row r="43" spans="1:2" x14ac:dyDescent="0.25">
      <c r="A43" s="5"/>
      <c r="B43" s="193"/>
    </row>
    <row r="44" spans="1:2" x14ac:dyDescent="0.25">
      <c r="A44" s="5"/>
      <c r="B44" s="193"/>
    </row>
    <row r="45" spans="1:2" x14ac:dyDescent="0.25">
      <c r="A45" s="5"/>
      <c r="B45" s="193"/>
    </row>
    <row r="46" spans="1:2" x14ac:dyDescent="0.25">
      <c r="A46" s="5"/>
      <c r="B46" s="193"/>
    </row>
    <row r="47" spans="1:2" x14ac:dyDescent="0.25">
      <c r="A47" s="5"/>
      <c r="B47" s="193"/>
    </row>
    <row r="48" spans="1:2" x14ac:dyDescent="0.25">
      <c r="A48" s="5"/>
      <c r="B48" s="193"/>
    </row>
    <row r="49" spans="1:2" x14ac:dyDescent="0.25">
      <c r="A49" s="5"/>
      <c r="B49" s="193"/>
    </row>
    <row r="50" spans="1:2" x14ac:dyDescent="0.25">
      <c r="A50" s="5"/>
      <c r="B50" s="193"/>
    </row>
    <row r="51" spans="1:2" x14ac:dyDescent="0.25">
      <c r="A51" s="5"/>
      <c r="B51" s="193"/>
    </row>
    <row r="52" spans="1:2" x14ac:dyDescent="0.25">
      <c r="A52" s="5"/>
      <c r="B52" s="193"/>
    </row>
    <row r="53" spans="1:2" x14ac:dyDescent="0.25">
      <c r="A53" s="5"/>
      <c r="B53" s="193"/>
    </row>
    <row r="54" spans="1:2" x14ac:dyDescent="0.25">
      <c r="A54" s="5"/>
      <c r="B54" s="193"/>
    </row>
    <row r="55" spans="1:2" x14ac:dyDescent="0.25">
      <c r="A55" s="5"/>
      <c r="B55" s="193"/>
    </row>
    <row r="56" spans="1:2" x14ac:dyDescent="0.25">
      <c r="A56" s="5"/>
      <c r="B56" s="193"/>
    </row>
    <row r="57" spans="1:2" x14ac:dyDescent="0.25">
      <c r="A57" s="5"/>
      <c r="B57" s="193"/>
    </row>
    <row r="58" spans="1:2" x14ac:dyDescent="0.25">
      <c r="A58" s="5"/>
      <c r="B58" s="193"/>
    </row>
    <row r="59" spans="1:2" x14ac:dyDescent="0.25">
      <c r="A59" s="5"/>
      <c r="B59" s="193"/>
    </row>
    <row r="60" spans="1:2" x14ac:dyDescent="0.25">
      <c r="A60" s="5"/>
      <c r="B60" s="193"/>
    </row>
    <row r="61" spans="1:2" x14ac:dyDescent="0.25">
      <c r="A61" s="5"/>
      <c r="B61" s="193"/>
    </row>
    <row r="62" spans="1:2" x14ac:dyDescent="0.25">
      <c r="A62" s="5"/>
      <c r="B62" s="193"/>
    </row>
    <row r="63" spans="1:2" x14ac:dyDescent="0.25">
      <c r="A63" s="5"/>
      <c r="B63" s="193"/>
    </row>
    <row r="64" spans="1:2" x14ac:dyDescent="0.25">
      <c r="A64" s="5"/>
      <c r="B64" s="193"/>
    </row>
    <row r="65" spans="1:2" x14ac:dyDescent="0.25">
      <c r="A65" s="5"/>
      <c r="B65" s="193"/>
    </row>
    <row r="66" spans="1:2" x14ac:dyDescent="0.25">
      <c r="A66" s="5"/>
      <c r="B66" s="193"/>
    </row>
    <row r="67" spans="1:2" x14ac:dyDescent="0.25">
      <c r="A67" s="5"/>
      <c r="B67" s="193"/>
    </row>
    <row r="68" spans="1:2" x14ac:dyDescent="0.25">
      <c r="A68" s="5"/>
      <c r="B68" s="193"/>
    </row>
    <row r="69" spans="1:2" x14ac:dyDescent="0.25">
      <c r="A69" s="5"/>
      <c r="B69" s="193"/>
    </row>
    <row r="70" spans="1:2" x14ac:dyDescent="0.25">
      <c r="A70" s="5"/>
      <c r="B70" s="193"/>
    </row>
    <row r="71" spans="1:2" x14ac:dyDescent="0.25">
      <c r="A71" s="5"/>
      <c r="B71" s="193"/>
    </row>
    <row r="72" spans="1:2" x14ac:dyDescent="0.25">
      <c r="A72" s="5"/>
      <c r="B72" s="193"/>
    </row>
    <row r="73" spans="1:2" x14ac:dyDescent="0.25">
      <c r="A73" s="5"/>
      <c r="B73" s="193"/>
    </row>
    <row r="74" spans="1:2" x14ac:dyDescent="0.25">
      <c r="A74" s="5"/>
      <c r="B74" s="193"/>
    </row>
    <row r="75" spans="1:2" x14ac:dyDescent="0.25">
      <c r="A75" s="5"/>
      <c r="B75" s="193"/>
    </row>
    <row r="76" spans="1:2" x14ac:dyDescent="0.25">
      <c r="A76" s="5"/>
      <c r="B76" s="193"/>
    </row>
    <row r="77" spans="1:2" x14ac:dyDescent="0.25">
      <c r="A77" s="5"/>
      <c r="B77" s="193"/>
    </row>
    <row r="78" spans="1:2" x14ac:dyDescent="0.25">
      <c r="A78" s="5"/>
      <c r="B78" s="193"/>
    </row>
    <row r="79" spans="1:2" x14ac:dyDescent="0.25">
      <c r="A79" s="5"/>
      <c r="B79" s="193"/>
    </row>
    <row r="80" spans="1:2" x14ac:dyDescent="0.25">
      <c r="A80" s="5"/>
      <c r="B80" s="193"/>
    </row>
    <row r="81" spans="1:2" x14ac:dyDescent="0.25">
      <c r="A81" s="5"/>
      <c r="B81" s="193"/>
    </row>
    <row r="82" spans="1:2" x14ac:dyDescent="0.25">
      <c r="A82" s="5"/>
      <c r="B82" s="193"/>
    </row>
    <row r="83" spans="1:2" x14ac:dyDescent="0.25">
      <c r="A83" s="5"/>
      <c r="B83" s="193"/>
    </row>
    <row r="84" spans="1:2" x14ac:dyDescent="0.25">
      <c r="A84" s="5"/>
      <c r="B84" s="193"/>
    </row>
    <row r="85" spans="1:2" x14ac:dyDescent="0.25">
      <c r="A85" s="5"/>
      <c r="B85" s="193"/>
    </row>
    <row r="86" spans="1:2" x14ac:dyDescent="0.25">
      <c r="A86" s="5"/>
      <c r="B86" s="193"/>
    </row>
    <row r="87" spans="1:2" x14ac:dyDescent="0.25">
      <c r="A87" s="5"/>
      <c r="B87" s="193"/>
    </row>
    <row r="88" spans="1:2" x14ac:dyDescent="0.25">
      <c r="A88" s="5"/>
      <c r="B88" s="193"/>
    </row>
    <row r="89" spans="1:2" x14ac:dyDescent="0.25">
      <c r="A89" s="5"/>
      <c r="B89" s="193"/>
    </row>
    <row r="90" spans="1:2" x14ac:dyDescent="0.25">
      <c r="A90" s="5"/>
      <c r="B90" s="193"/>
    </row>
    <row r="91" spans="1:2" x14ac:dyDescent="0.25">
      <c r="A91" s="5"/>
      <c r="B91" s="193"/>
    </row>
    <row r="92" spans="1:2" x14ac:dyDescent="0.25">
      <c r="A92" s="5"/>
      <c r="B92" s="193"/>
    </row>
    <row r="93" spans="1:2" x14ac:dyDescent="0.25">
      <c r="A93" s="5"/>
      <c r="B93" s="193"/>
    </row>
    <row r="94" spans="1:2" x14ac:dyDescent="0.25">
      <c r="A94" s="5"/>
      <c r="B94" s="193"/>
    </row>
    <row r="95" spans="1:2" x14ac:dyDescent="0.25">
      <c r="A95" s="5"/>
      <c r="B95" s="193"/>
    </row>
    <row r="96" spans="1:2" x14ac:dyDescent="0.25">
      <c r="A96" s="5"/>
      <c r="B96" s="193"/>
    </row>
    <row r="97" spans="1:2" x14ac:dyDescent="0.25">
      <c r="A97" s="5"/>
      <c r="B97" s="193"/>
    </row>
    <row r="98" spans="1:2" x14ac:dyDescent="0.25">
      <c r="A98" s="5"/>
      <c r="B98" s="193"/>
    </row>
    <row r="99" spans="1:2" x14ac:dyDescent="0.25">
      <c r="A99" s="5"/>
      <c r="B99" s="193"/>
    </row>
    <row r="100" spans="1:2" x14ac:dyDescent="0.25">
      <c r="A100" s="5"/>
      <c r="B100" s="193"/>
    </row>
    <row r="101" spans="1:2" x14ac:dyDescent="0.25">
      <c r="A101" s="5"/>
      <c r="B101" s="193"/>
    </row>
    <row r="102" spans="1:2" x14ac:dyDescent="0.25">
      <c r="A102" s="5"/>
      <c r="B102" s="193"/>
    </row>
    <row r="103" spans="1:2" x14ac:dyDescent="0.25">
      <c r="A103" s="5"/>
      <c r="B103" s="193"/>
    </row>
    <row r="104" spans="1:2" x14ac:dyDescent="0.25">
      <c r="A104" s="5"/>
      <c r="B104" s="193"/>
    </row>
    <row r="105" spans="1:2" x14ac:dyDescent="0.25">
      <c r="A105" s="5"/>
      <c r="B105" s="193"/>
    </row>
    <row r="106" spans="1:2" x14ac:dyDescent="0.25">
      <c r="A106" s="5"/>
      <c r="B106" s="193"/>
    </row>
    <row r="107" spans="1:2" x14ac:dyDescent="0.25">
      <c r="A107" s="5"/>
      <c r="B107" s="193"/>
    </row>
    <row r="108" spans="1:2" x14ac:dyDescent="0.25">
      <c r="A108" s="5"/>
      <c r="B108" s="193"/>
    </row>
    <row r="109" spans="1:2" x14ac:dyDescent="0.25">
      <c r="A109" s="5"/>
      <c r="B109" s="193"/>
    </row>
    <row r="110" spans="1:2" x14ac:dyDescent="0.25">
      <c r="A110" s="5"/>
      <c r="B110" s="193"/>
    </row>
    <row r="111" spans="1:2" x14ac:dyDescent="0.25">
      <c r="A111" s="5"/>
      <c r="B111" s="193"/>
    </row>
    <row r="112" spans="1:2" x14ac:dyDescent="0.25">
      <c r="A112" s="5"/>
      <c r="B112" s="193"/>
    </row>
    <row r="113" spans="1:2" x14ac:dyDescent="0.25">
      <c r="A113" s="5"/>
      <c r="B113" s="193"/>
    </row>
    <row r="114" spans="1:2" x14ac:dyDescent="0.25">
      <c r="A114" s="5"/>
      <c r="B114" s="193"/>
    </row>
    <row r="115" spans="1:2" x14ac:dyDescent="0.25">
      <c r="A115" s="5"/>
      <c r="B115" s="193"/>
    </row>
    <row r="116" spans="1:2" x14ac:dyDescent="0.25">
      <c r="A116" s="5"/>
      <c r="B116" s="193"/>
    </row>
    <row r="117" spans="1:2" x14ac:dyDescent="0.25">
      <c r="A117" s="5"/>
      <c r="B117" s="193"/>
    </row>
    <row r="118" spans="1:2" x14ac:dyDescent="0.25">
      <c r="A118" s="5"/>
      <c r="B118" s="193"/>
    </row>
    <row r="119" spans="1:2" x14ac:dyDescent="0.25">
      <c r="A119" s="5"/>
      <c r="B119" s="193"/>
    </row>
    <row r="120" spans="1:2" x14ac:dyDescent="0.25">
      <c r="A120" s="5"/>
      <c r="B120" s="193"/>
    </row>
    <row r="121" spans="1:2" x14ac:dyDescent="0.25">
      <c r="A121" s="5"/>
      <c r="B121" s="193"/>
    </row>
    <row r="122" spans="1:2" x14ac:dyDescent="0.25">
      <c r="A122" s="5"/>
      <c r="B122" s="193"/>
    </row>
    <row r="123" spans="1:2" x14ac:dyDescent="0.25">
      <c r="A123" s="5"/>
      <c r="B123" s="193"/>
    </row>
    <row r="124" spans="1:2" x14ac:dyDescent="0.25">
      <c r="A124" s="5"/>
      <c r="B124" s="193"/>
    </row>
    <row r="125" spans="1:2" x14ac:dyDescent="0.25">
      <c r="A125" s="5"/>
      <c r="B125" s="193"/>
    </row>
    <row r="126" spans="1:2" x14ac:dyDescent="0.25">
      <c r="A126" s="5"/>
      <c r="B126" s="193"/>
    </row>
    <row r="127" spans="1:2" x14ac:dyDescent="0.25">
      <c r="A127" s="5"/>
      <c r="B127" s="193"/>
    </row>
    <row r="128" spans="1:2" x14ac:dyDescent="0.25">
      <c r="A128" s="5"/>
      <c r="B128" s="193"/>
    </row>
    <row r="129" spans="1:2" x14ac:dyDescent="0.25">
      <c r="A129" s="5"/>
      <c r="B129" s="193"/>
    </row>
    <row r="130" spans="1:2" x14ac:dyDescent="0.25">
      <c r="A130" s="5"/>
      <c r="B130" s="193"/>
    </row>
    <row r="131" spans="1:2" x14ac:dyDescent="0.25">
      <c r="A131" s="5"/>
      <c r="B131" s="193"/>
    </row>
    <row r="132" spans="1:2" x14ac:dyDescent="0.25">
      <c r="A132" s="5"/>
      <c r="B132" s="193"/>
    </row>
    <row r="133" spans="1:2" x14ac:dyDescent="0.25">
      <c r="A133" s="5"/>
      <c r="B133" s="193"/>
    </row>
    <row r="134" spans="1:2" x14ac:dyDescent="0.25">
      <c r="A134" s="5"/>
      <c r="B134" s="193"/>
    </row>
    <row r="135" spans="1:2" x14ac:dyDescent="0.25">
      <c r="A135" s="5"/>
      <c r="B135" s="193"/>
    </row>
    <row r="136" spans="1:2" x14ac:dyDescent="0.25">
      <c r="A136" s="5"/>
      <c r="B136" s="193"/>
    </row>
    <row r="137" spans="1:2" x14ac:dyDescent="0.25">
      <c r="A137" s="5"/>
      <c r="B137" s="193"/>
    </row>
    <row r="138" spans="1:2" x14ac:dyDescent="0.25">
      <c r="A138" s="5"/>
      <c r="B138" s="193"/>
    </row>
    <row r="139" spans="1:2" x14ac:dyDescent="0.25">
      <c r="A139" s="5"/>
      <c r="B139" s="193"/>
    </row>
    <row r="140" spans="1:2" x14ac:dyDescent="0.25">
      <c r="A140" s="5"/>
      <c r="B140" s="193"/>
    </row>
    <row r="141" spans="1:2" x14ac:dyDescent="0.25">
      <c r="A141" s="5"/>
      <c r="B141" s="193"/>
    </row>
    <row r="142" spans="1:2" x14ac:dyDescent="0.25">
      <c r="A142" s="5"/>
      <c r="B142" s="193"/>
    </row>
    <row r="143" spans="1:2" x14ac:dyDescent="0.25">
      <c r="A143" s="5"/>
      <c r="B143" s="193"/>
    </row>
    <row r="144" spans="1:2" x14ac:dyDescent="0.25">
      <c r="A144" s="5"/>
      <c r="B144" s="193"/>
    </row>
    <row r="145" spans="1:2" x14ac:dyDescent="0.25">
      <c r="A145" s="5"/>
      <c r="B145" s="193"/>
    </row>
    <row r="146" spans="1:2" x14ac:dyDescent="0.25">
      <c r="A146" s="5"/>
      <c r="B146" s="193"/>
    </row>
    <row r="147" spans="1:2" x14ac:dyDescent="0.25">
      <c r="A147" s="5"/>
      <c r="B147" s="193"/>
    </row>
    <row r="148" spans="1:2" x14ac:dyDescent="0.25">
      <c r="A148" s="5"/>
      <c r="B148" s="193"/>
    </row>
    <row r="149" spans="1:2" x14ac:dyDescent="0.25">
      <c r="A149" s="5"/>
      <c r="B149" s="193"/>
    </row>
    <row r="150" spans="1:2" x14ac:dyDescent="0.25">
      <c r="A150" s="5"/>
      <c r="B150" s="193"/>
    </row>
    <row r="151" spans="1:2" x14ac:dyDescent="0.25">
      <c r="A151" s="5"/>
      <c r="B151" s="193"/>
    </row>
    <row r="152" spans="1:2" x14ac:dyDescent="0.25">
      <c r="A152" s="5"/>
      <c r="B152" s="193"/>
    </row>
    <row r="153" spans="1:2" x14ac:dyDescent="0.25">
      <c r="A153" s="5"/>
      <c r="B153" s="193"/>
    </row>
    <row r="154" spans="1:2" x14ac:dyDescent="0.25">
      <c r="A154" s="5"/>
      <c r="B154" s="193"/>
    </row>
    <row r="155" spans="1:2" x14ac:dyDescent="0.25">
      <c r="A155" s="5"/>
      <c r="B155" s="193"/>
    </row>
    <row r="156" spans="1:2" x14ac:dyDescent="0.25">
      <c r="A156" s="5"/>
      <c r="B156" s="193"/>
    </row>
    <row r="157" spans="1:2" x14ac:dyDescent="0.25">
      <c r="A157" s="5"/>
      <c r="B157" s="193"/>
    </row>
    <row r="158" spans="1:2" x14ac:dyDescent="0.25">
      <c r="A158" s="5"/>
      <c r="B158" s="193"/>
    </row>
    <row r="159" spans="1:2" x14ac:dyDescent="0.25">
      <c r="A159" s="5"/>
      <c r="B159" s="193"/>
    </row>
    <row r="160" spans="1:2" x14ac:dyDescent="0.25">
      <c r="A160" s="5"/>
      <c r="B160" s="193"/>
    </row>
    <row r="161" spans="1:2" x14ac:dyDescent="0.25">
      <c r="A161" s="5"/>
      <c r="B161" s="193"/>
    </row>
    <row r="162" spans="1:2" x14ac:dyDescent="0.25">
      <c r="A162" s="5"/>
      <c r="B162" s="193"/>
    </row>
    <row r="163" spans="1:2" x14ac:dyDescent="0.25">
      <c r="A163" s="5"/>
      <c r="B163" s="193"/>
    </row>
    <row r="164" spans="1:2" x14ac:dyDescent="0.25">
      <c r="A164" s="5"/>
      <c r="B164" s="193"/>
    </row>
    <row r="165" spans="1:2" x14ac:dyDescent="0.25">
      <c r="A165" s="5"/>
      <c r="B165" s="193"/>
    </row>
    <row r="166" spans="1:2" x14ac:dyDescent="0.25">
      <c r="A166" s="5"/>
      <c r="B166" s="193"/>
    </row>
    <row r="167" spans="1:2" x14ac:dyDescent="0.25">
      <c r="A167" s="5"/>
      <c r="B167" s="193"/>
    </row>
    <row r="168" spans="1:2" x14ac:dyDescent="0.25">
      <c r="A168" s="5"/>
      <c r="B168" s="193"/>
    </row>
    <row r="169" spans="1:2" x14ac:dyDescent="0.25">
      <c r="A169" s="5"/>
      <c r="B169" s="193"/>
    </row>
    <row r="170" spans="1:2" x14ac:dyDescent="0.25">
      <c r="A170" s="5"/>
      <c r="B170" s="193"/>
    </row>
    <row r="171" spans="1:2" x14ac:dyDescent="0.25">
      <c r="A171" s="5"/>
      <c r="B171" s="193"/>
    </row>
    <row r="172" spans="1:2" x14ac:dyDescent="0.25">
      <c r="A172" s="5"/>
      <c r="B172" s="193"/>
    </row>
    <row r="173" spans="1:2" x14ac:dyDescent="0.25">
      <c r="A173" s="5"/>
      <c r="B173" s="193"/>
    </row>
    <row r="174" spans="1:2" x14ac:dyDescent="0.25">
      <c r="A174" s="5"/>
      <c r="B174" s="193"/>
    </row>
    <row r="175" spans="1:2" x14ac:dyDescent="0.25">
      <c r="A175" s="5"/>
      <c r="B175" s="193"/>
    </row>
    <row r="176" spans="1:2" x14ac:dyDescent="0.25">
      <c r="A176" s="5"/>
      <c r="B176" s="193"/>
    </row>
    <row r="177" spans="1:2" x14ac:dyDescent="0.25">
      <c r="A177" s="5"/>
      <c r="B177" s="193"/>
    </row>
    <row r="178" spans="1:2" x14ac:dyDescent="0.25">
      <c r="A178" s="5"/>
      <c r="B178" s="193"/>
    </row>
    <row r="179" spans="1:2" x14ac:dyDescent="0.25">
      <c r="A179" s="5"/>
      <c r="B179" s="193"/>
    </row>
    <row r="180" spans="1:2" x14ac:dyDescent="0.25">
      <c r="A180" s="5"/>
      <c r="B180" s="193"/>
    </row>
    <row r="181" spans="1:2" x14ac:dyDescent="0.25">
      <c r="A181" s="5"/>
      <c r="B181" s="193"/>
    </row>
    <row r="182" spans="1:2" x14ac:dyDescent="0.25">
      <c r="A182" s="5"/>
      <c r="B182" s="193"/>
    </row>
    <row r="183" spans="1:2" x14ac:dyDescent="0.25">
      <c r="A183" s="5"/>
      <c r="B183" s="193"/>
    </row>
    <row r="184" spans="1:2" x14ac:dyDescent="0.25">
      <c r="A184" s="5"/>
      <c r="B184" s="193"/>
    </row>
    <row r="185" spans="1:2" x14ac:dyDescent="0.25">
      <c r="A185" s="5"/>
      <c r="B185" s="193"/>
    </row>
    <row r="186" spans="1:2" x14ac:dyDescent="0.25">
      <c r="A186" s="5"/>
      <c r="B186" s="193"/>
    </row>
    <row r="187" spans="1:2" x14ac:dyDescent="0.25">
      <c r="A187" s="5"/>
      <c r="B187" s="193"/>
    </row>
    <row r="188" spans="1:2" x14ac:dyDescent="0.25">
      <c r="A188" s="5"/>
      <c r="B188" s="193"/>
    </row>
    <row r="189" spans="1:2" x14ac:dyDescent="0.25">
      <c r="A189" s="5"/>
      <c r="B189" s="193"/>
    </row>
    <row r="190" spans="1:2" x14ac:dyDescent="0.25">
      <c r="A190" s="5"/>
      <c r="B190" s="193"/>
    </row>
    <row r="191" spans="1:2" x14ac:dyDescent="0.25">
      <c r="A191" s="5"/>
      <c r="B191" s="193"/>
    </row>
    <row r="192" spans="1:2" x14ac:dyDescent="0.25">
      <c r="A192" s="5"/>
      <c r="B192" s="193"/>
    </row>
    <row r="193" spans="1:2" x14ac:dyDescent="0.25">
      <c r="A193" s="5"/>
      <c r="B193" s="193"/>
    </row>
    <row r="194" spans="1:2" x14ac:dyDescent="0.25">
      <c r="A194" s="5"/>
      <c r="B194" s="193"/>
    </row>
    <row r="195" spans="1:2" x14ac:dyDescent="0.25">
      <c r="A195" s="5"/>
      <c r="B195" s="193"/>
    </row>
    <row r="196" spans="1:2" x14ac:dyDescent="0.25">
      <c r="A196" s="5"/>
      <c r="B196" s="193"/>
    </row>
    <row r="197" spans="1:2" x14ac:dyDescent="0.25">
      <c r="A197" s="5"/>
      <c r="B197" s="193"/>
    </row>
    <row r="198" spans="1:2" x14ac:dyDescent="0.25">
      <c r="A198" s="5"/>
      <c r="B198" s="193"/>
    </row>
    <row r="199" spans="1:2" x14ac:dyDescent="0.25">
      <c r="A199" s="5"/>
      <c r="B199" s="193"/>
    </row>
    <row r="200" spans="1:2" x14ac:dyDescent="0.25">
      <c r="A200" s="5"/>
      <c r="B200" s="193"/>
    </row>
    <row r="201" spans="1:2" x14ac:dyDescent="0.25">
      <c r="A201" s="5"/>
      <c r="B201" s="193"/>
    </row>
    <row r="202" spans="1:2" x14ac:dyDescent="0.25">
      <c r="A202" s="5"/>
      <c r="B202" s="193"/>
    </row>
    <row r="203" spans="1:2" x14ac:dyDescent="0.25">
      <c r="A203" s="5"/>
      <c r="B203" s="193"/>
    </row>
    <row r="204" spans="1:2" x14ac:dyDescent="0.25">
      <c r="A204" s="5"/>
      <c r="B204" s="193"/>
    </row>
    <row r="205" spans="1:2" x14ac:dyDescent="0.25">
      <c r="A205" s="5"/>
      <c r="B205" s="193"/>
    </row>
    <row r="206" spans="1:2" x14ac:dyDescent="0.25">
      <c r="A206" s="5"/>
      <c r="B206" s="193"/>
    </row>
    <row r="207" spans="1:2" x14ac:dyDescent="0.25">
      <c r="A207" s="5"/>
      <c r="B207" s="193"/>
    </row>
    <row r="208" spans="1:2" x14ac:dyDescent="0.25">
      <c r="A208" s="5"/>
      <c r="B208" s="193"/>
    </row>
    <row r="209" spans="1:2" x14ac:dyDescent="0.25">
      <c r="A209" s="5"/>
      <c r="B209" s="193"/>
    </row>
    <row r="210" spans="1:2" x14ac:dyDescent="0.25">
      <c r="A210" s="5"/>
      <c r="B210" s="193"/>
    </row>
    <row r="211" spans="1:2" x14ac:dyDescent="0.25">
      <c r="A211" s="5"/>
      <c r="B211" s="193"/>
    </row>
    <row r="212" spans="1:2" x14ac:dyDescent="0.25">
      <c r="A212" s="5"/>
      <c r="B212" s="193"/>
    </row>
    <row r="213" spans="1:2" x14ac:dyDescent="0.25">
      <c r="A213" s="5"/>
      <c r="B213" s="193"/>
    </row>
    <row r="214" spans="1:2" x14ac:dyDescent="0.25">
      <c r="A214" s="5"/>
      <c r="B214" s="193"/>
    </row>
    <row r="215" spans="1:2" x14ac:dyDescent="0.25">
      <c r="A215" s="5"/>
      <c r="B215" s="193"/>
    </row>
    <row r="216" spans="1:2" x14ac:dyDescent="0.25">
      <c r="A216" s="5"/>
      <c r="B216" s="193"/>
    </row>
    <row r="217" spans="1:2" x14ac:dyDescent="0.25">
      <c r="A217" s="5"/>
      <c r="B217" s="193"/>
    </row>
    <row r="218" spans="1:2" x14ac:dyDescent="0.25">
      <c r="A218" s="5"/>
      <c r="B218" s="193"/>
    </row>
    <row r="219" spans="1:2" x14ac:dyDescent="0.25">
      <c r="A219" s="5"/>
      <c r="B219" s="193"/>
    </row>
    <row r="220" spans="1:2" x14ac:dyDescent="0.25">
      <c r="A220" s="5"/>
      <c r="B220" s="193"/>
    </row>
    <row r="221" spans="1:2" x14ac:dyDescent="0.25">
      <c r="A221" s="5"/>
      <c r="B221" s="193"/>
    </row>
    <row r="222" spans="1:2" x14ac:dyDescent="0.25">
      <c r="A222" s="5"/>
      <c r="B222" s="193"/>
    </row>
    <row r="223" spans="1:2" x14ac:dyDescent="0.25">
      <c r="A223" s="5"/>
      <c r="B223" s="193"/>
    </row>
    <row r="224" spans="1:2" x14ac:dyDescent="0.25">
      <c r="A224" s="5"/>
      <c r="B224" s="193"/>
    </row>
    <row r="225" spans="1:2" x14ac:dyDescent="0.25">
      <c r="A225" s="5"/>
      <c r="B225" s="193"/>
    </row>
    <row r="226" spans="1:2" x14ac:dyDescent="0.25">
      <c r="A226" s="5"/>
      <c r="B226" s="193"/>
    </row>
    <row r="227" spans="1:2" x14ac:dyDescent="0.25">
      <c r="A227" s="5"/>
      <c r="B227" s="193"/>
    </row>
    <row r="228" spans="1:2" x14ac:dyDescent="0.25">
      <c r="A228" s="5"/>
      <c r="B228" s="193"/>
    </row>
    <row r="229" spans="1:2" x14ac:dyDescent="0.25">
      <c r="A229" s="5"/>
      <c r="B229" s="193"/>
    </row>
    <row r="230" spans="1:2" x14ac:dyDescent="0.25">
      <c r="A230" s="5"/>
      <c r="B230" s="193"/>
    </row>
    <row r="231" spans="1:2" x14ac:dyDescent="0.25">
      <c r="A231" s="5"/>
      <c r="B231" s="193"/>
    </row>
    <row r="232" spans="1:2" x14ac:dyDescent="0.25">
      <c r="A232" s="5"/>
      <c r="B232" s="193"/>
    </row>
    <row r="233" spans="1:2" x14ac:dyDescent="0.25">
      <c r="A233" s="5"/>
      <c r="B233" s="193"/>
    </row>
    <row r="234" spans="1:2" x14ac:dyDescent="0.25">
      <c r="A234" s="5"/>
      <c r="B234" s="193"/>
    </row>
    <row r="235" spans="1:2" x14ac:dyDescent="0.25">
      <c r="A235" s="5"/>
      <c r="B235" s="193"/>
    </row>
    <row r="236" spans="1:2" x14ac:dyDescent="0.25">
      <c r="A236" s="5"/>
      <c r="B236" s="193"/>
    </row>
    <row r="237" spans="1:2" x14ac:dyDescent="0.25">
      <c r="A237" s="5"/>
      <c r="B237" s="193"/>
    </row>
    <row r="238" spans="1:2" x14ac:dyDescent="0.25">
      <c r="A238" s="5"/>
      <c r="B238" s="193"/>
    </row>
    <row r="239" spans="1:2" x14ac:dyDescent="0.25">
      <c r="A239" s="5"/>
      <c r="B239" s="193"/>
    </row>
    <row r="240" spans="1:2" x14ac:dyDescent="0.25">
      <c r="A240" s="5"/>
      <c r="B240" s="193"/>
    </row>
    <row r="241" spans="1:2" x14ac:dyDescent="0.25">
      <c r="A241" s="5"/>
      <c r="B241" s="193"/>
    </row>
    <row r="242" spans="1:2" x14ac:dyDescent="0.25">
      <c r="A242" s="5"/>
      <c r="B242" s="193"/>
    </row>
    <row r="243" spans="1:2" x14ac:dyDescent="0.25">
      <c r="A243" s="5"/>
      <c r="B243" s="193"/>
    </row>
    <row r="244" spans="1:2" x14ac:dyDescent="0.25">
      <c r="A244" s="5"/>
      <c r="B244" s="193"/>
    </row>
    <row r="245" spans="1:2" x14ac:dyDescent="0.25">
      <c r="A245" s="5"/>
      <c r="B245" s="193"/>
    </row>
    <row r="246" spans="1:2" x14ac:dyDescent="0.25">
      <c r="A246" s="5"/>
      <c r="B246" s="193"/>
    </row>
    <row r="247" spans="1:2" x14ac:dyDescent="0.25">
      <c r="A247" s="5"/>
      <c r="B247" s="193"/>
    </row>
    <row r="248" spans="1:2" x14ac:dyDescent="0.25">
      <c r="A248" s="5"/>
      <c r="B248" s="193"/>
    </row>
    <row r="249" spans="1:2" x14ac:dyDescent="0.25">
      <c r="A249" s="5"/>
      <c r="B249" s="193"/>
    </row>
    <row r="250" spans="1:2" x14ac:dyDescent="0.25">
      <c r="A250" s="5"/>
      <c r="B250" s="193"/>
    </row>
    <row r="251" spans="1:2" x14ac:dyDescent="0.25">
      <c r="A251" s="5"/>
      <c r="B251" s="193"/>
    </row>
    <row r="252" spans="1:2" x14ac:dyDescent="0.25">
      <c r="A252" s="5"/>
      <c r="B252" s="193"/>
    </row>
    <row r="253" spans="1:2" x14ac:dyDescent="0.25">
      <c r="A253" s="5"/>
      <c r="B253" s="193"/>
    </row>
    <row r="254" spans="1:2" x14ac:dyDescent="0.25">
      <c r="A254" s="5"/>
      <c r="B254" s="193"/>
    </row>
    <row r="255" spans="1:2" x14ac:dyDescent="0.25">
      <c r="A255" s="5"/>
      <c r="B255" s="193"/>
    </row>
    <row r="256" spans="1:2" x14ac:dyDescent="0.25">
      <c r="A256" s="5"/>
      <c r="B256" s="193"/>
    </row>
    <row r="257" spans="1:2" x14ac:dyDescent="0.25">
      <c r="A257" s="5"/>
      <c r="B257" s="193"/>
    </row>
    <row r="258" spans="1:2" x14ac:dyDescent="0.25">
      <c r="A258" s="5"/>
      <c r="B258" s="193"/>
    </row>
    <row r="259" spans="1:2" x14ac:dyDescent="0.25">
      <c r="A259" s="5"/>
      <c r="B259" s="193"/>
    </row>
    <row r="260" spans="1:2" x14ac:dyDescent="0.25">
      <c r="A260" s="5"/>
      <c r="B260" s="193"/>
    </row>
    <row r="261" spans="1:2" x14ac:dyDescent="0.25">
      <c r="A261" s="5"/>
      <c r="B261" s="193"/>
    </row>
    <row r="262" spans="1:2" x14ac:dyDescent="0.25">
      <c r="A262" s="5"/>
      <c r="B262" s="193"/>
    </row>
    <row r="263" spans="1:2" x14ac:dyDescent="0.25">
      <c r="A263" s="5"/>
      <c r="B263" s="193"/>
    </row>
    <row r="264" spans="1:2" x14ac:dyDescent="0.25">
      <c r="A264" s="5"/>
      <c r="B264" s="193"/>
    </row>
    <row r="265" spans="1:2" x14ac:dyDescent="0.25">
      <c r="A265" s="5"/>
      <c r="B265" s="193"/>
    </row>
    <row r="266" spans="1:2" x14ac:dyDescent="0.25">
      <c r="A266" s="5"/>
      <c r="B266" s="193"/>
    </row>
    <row r="267" spans="1:2" x14ac:dyDescent="0.25">
      <c r="A267" s="5"/>
      <c r="B267" s="193"/>
    </row>
    <row r="268" spans="1:2" x14ac:dyDescent="0.25">
      <c r="A268" s="5"/>
      <c r="B268" s="193"/>
    </row>
    <row r="269" spans="1:2" x14ac:dyDescent="0.25">
      <c r="A269" s="5"/>
      <c r="B269" s="193"/>
    </row>
    <row r="270" spans="1:2" x14ac:dyDescent="0.25">
      <c r="A270" s="5"/>
      <c r="B270" s="193"/>
    </row>
    <row r="271" spans="1:2" x14ac:dyDescent="0.25">
      <c r="A271" s="5"/>
      <c r="B271" s="193"/>
    </row>
    <row r="272" spans="1:2" x14ac:dyDescent="0.25">
      <c r="A272" s="5"/>
      <c r="B272" s="193"/>
    </row>
    <row r="273" spans="1:2" x14ac:dyDescent="0.25">
      <c r="A273" s="5"/>
      <c r="B273" s="193"/>
    </row>
    <row r="274" spans="1:2" x14ac:dyDescent="0.25">
      <c r="A274" s="5"/>
      <c r="B274" s="193"/>
    </row>
    <row r="275" spans="1:2" x14ac:dyDescent="0.25">
      <c r="A275" s="5"/>
      <c r="B275" s="193"/>
    </row>
    <row r="276" spans="1:2" x14ac:dyDescent="0.25">
      <c r="A276" s="5"/>
      <c r="B276" s="193"/>
    </row>
    <row r="277" spans="1:2" x14ac:dyDescent="0.25">
      <c r="A277" s="5"/>
      <c r="B277" s="193"/>
    </row>
    <row r="278" spans="1:2" x14ac:dyDescent="0.25">
      <c r="A278" s="5"/>
      <c r="B278" s="193"/>
    </row>
    <row r="279" spans="1:2" x14ac:dyDescent="0.25">
      <c r="A279" s="5"/>
      <c r="B279" s="193"/>
    </row>
    <row r="280" spans="1:2" x14ac:dyDescent="0.25">
      <c r="A280" s="5"/>
      <c r="B280" s="193"/>
    </row>
    <row r="281" spans="1:2" x14ac:dyDescent="0.25">
      <c r="A281" s="5"/>
      <c r="B281" s="193"/>
    </row>
    <row r="282" spans="1:2" x14ac:dyDescent="0.25">
      <c r="A282" s="5"/>
      <c r="B282" s="193"/>
    </row>
    <row r="283" spans="1:2" x14ac:dyDescent="0.25">
      <c r="A283" s="5"/>
      <c r="B283" s="193"/>
    </row>
    <row r="284" spans="1:2" x14ac:dyDescent="0.25">
      <c r="A284" s="5"/>
      <c r="B284" s="193"/>
    </row>
    <row r="285" spans="1:2" x14ac:dyDescent="0.25">
      <c r="A285" s="5"/>
      <c r="B285" s="193"/>
    </row>
    <row r="286" spans="1:2" x14ac:dyDescent="0.25">
      <c r="A286" s="5"/>
      <c r="B286" s="193"/>
    </row>
    <row r="287" spans="1:2" x14ac:dyDescent="0.25">
      <c r="A287" s="5"/>
      <c r="B287" s="193"/>
    </row>
    <row r="288" spans="1:2" x14ac:dyDescent="0.25">
      <c r="A288" s="5"/>
      <c r="B288" s="193"/>
    </row>
    <row r="289" spans="1:2" x14ac:dyDescent="0.25">
      <c r="A289" s="5"/>
      <c r="B289" s="193"/>
    </row>
    <row r="290" spans="1:2" x14ac:dyDescent="0.25">
      <c r="A290" s="5"/>
      <c r="B290" s="193"/>
    </row>
    <row r="291" spans="1:2" x14ac:dyDescent="0.25">
      <c r="A291" s="5"/>
      <c r="B291" s="193"/>
    </row>
    <row r="292" spans="1:2" x14ac:dyDescent="0.25">
      <c r="A292" s="5"/>
      <c r="B292" s="193"/>
    </row>
    <row r="293" spans="1:2" x14ac:dyDescent="0.25">
      <c r="A293" s="5"/>
      <c r="B293" s="193"/>
    </row>
    <row r="294" spans="1:2" x14ac:dyDescent="0.25">
      <c r="A294" s="5"/>
      <c r="B294" s="193"/>
    </row>
    <row r="295" spans="1:2" x14ac:dyDescent="0.25">
      <c r="A295" s="5"/>
      <c r="B295" s="193"/>
    </row>
    <row r="296" spans="1:2" x14ac:dyDescent="0.25">
      <c r="A296" s="5"/>
      <c r="B296" s="193"/>
    </row>
    <row r="297" spans="1:2" x14ac:dyDescent="0.25">
      <c r="A297" s="5"/>
      <c r="B297" s="193"/>
    </row>
    <row r="298" spans="1:2" x14ac:dyDescent="0.25">
      <c r="A298" s="5"/>
      <c r="B298" s="193"/>
    </row>
    <row r="299" spans="1:2" x14ac:dyDescent="0.25">
      <c r="A299" s="5"/>
      <c r="B299" s="193"/>
    </row>
    <row r="300" spans="1:2" x14ac:dyDescent="0.25">
      <c r="A300" s="5"/>
      <c r="B300" s="193"/>
    </row>
    <row r="301" spans="1:2" x14ac:dyDescent="0.25">
      <c r="A301" s="5"/>
      <c r="B301" s="193"/>
    </row>
    <row r="302" spans="1:2" x14ac:dyDescent="0.25">
      <c r="A302" s="5"/>
      <c r="B302" s="193"/>
    </row>
    <row r="303" spans="1:2" x14ac:dyDescent="0.25">
      <c r="A303" s="5"/>
      <c r="B303" s="193"/>
    </row>
    <row r="304" spans="1:2" x14ac:dyDescent="0.25">
      <c r="A304" s="5"/>
      <c r="B304" s="193"/>
    </row>
    <row r="305" spans="1:2" x14ac:dyDescent="0.25">
      <c r="A305" s="5"/>
      <c r="B305" s="193"/>
    </row>
    <row r="306" spans="1:2" x14ac:dyDescent="0.25">
      <c r="A306" s="5"/>
      <c r="B306" s="193"/>
    </row>
    <row r="307" spans="1:2" x14ac:dyDescent="0.25">
      <c r="A307" s="5"/>
      <c r="B307" s="193"/>
    </row>
    <row r="308" spans="1:2" x14ac:dyDescent="0.25">
      <c r="A308" s="5"/>
      <c r="B308" s="193"/>
    </row>
    <row r="309" spans="1:2" x14ac:dyDescent="0.25">
      <c r="A309" s="5"/>
      <c r="B309" s="193"/>
    </row>
    <row r="310" spans="1:2" x14ac:dyDescent="0.25">
      <c r="A310" s="5"/>
      <c r="B310" s="193"/>
    </row>
    <row r="311" spans="1:2" x14ac:dyDescent="0.25">
      <c r="A311" s="5"/>
      <c r="B311" s="193"/>
    </row>
    <row r="312" spans="1:2" x14ac:dyDescent="0.25">
      <c r="A312" s="5"/>
      <c r="B312" s="193"/>
    </row>
    <row r="313" spans="1:2" x14ac:dyDescent="0.25">
      <c r="A313" s="5"/>
      <c r="B313" s="193"/>
    </row>
    <row r="314" spans="1:2" x14ac:dyDescent="0.25">
      <c r="A314" s="5"/>
      <c r="B314" s="193"/>
    </row>
    <row r="315" spans="1:2" x14ac:dyDescent="0.25">
      <c r="A315" s="5"/>
      <c r="B315" s="193"/>
    </row>
    <row r="316" spans="1:2" x14ac:dyDescent="0.25">
      <c r="A316" s="5"/>
      <c r="B316" s="193"/>
    </row>
    <row r="317" spans="1:2" x14ac:dyDescent="0.25">
      <c r="A317" s="5"/>
      <c r="B317" s="193"/>
    </row>
    <row r="318" spans="1:2" x14ac:dyDescent="0.25">
      <c r="A318" s="5"/>
      <c r="B318" s="193"/>
    </row>
    <row r="319" spans="1:2" x14ac:dyDescent="0.25">
      <c r="A319" s="5"/>
      <c r="B319" s="193"/>
    </row>
    <row r="320" spans="1:2" x14ac:dyDescent="0.25">
      <c r="A320" s="5"/>
      <c r="B320" s="193"/>
    </row>
    <row r="321" spans="1:2" x14ac:dyDescent="0.25">
      <c r="A321" s="5"/>
      <c r="B321" s="193"/>
    </row>
    <row r="322" spans="1:2" x14ac:dyDescent="0.25">
      <c r="A322" s="5"/>
      <c r="B322" s="193"/>
    </row>
    <row r="323" spans="1:2" x14ac:dyDescent="0.25">
      <c r="A323" s="5"/>
      <c r="B323" s="193"/>
    </row>
    <row r="324" spans="1:2" x14ac:dyDescent="0.25">
      <c r="A324" s="5"/>
      <c r="B324" s="193"/>
    </row>
    <row r="325" spans="1:2" x14ac:dyDescent="0.25">
      <c r="A325" s="5"/>
      <c r="B325" s="193"/>
    </row>
    <row r="326" spans="1:2" x14ac:dyDescent="0.25">
      <c r="A326" s="5"/>
      <c r="B326" s="193"/>
    </row>
    <row r="327" spans="1:2" x14ac:dyDescent="0.25">
      <c r="A327" s="5"/>
      <c r="B327" s="193"/>
    </row>
    <row r="328" spans="1:2" x14ac:dyDescent="0.25">
      <c r="A328" s="5"/>
      <c r="B328" s="193"/>
    </row>
    <row r="329" spans="1:2" x14ac:dyDescent="0.25">
      <c r="A329" s="5"/>
      <c r="B329" s="193"/>
    </row>
    <row r="330" spans="1:2" x14ac:dyDescent="0.25">
      <c r="A330" s="5"/>
      <c r="B330" s="193"/>
    </row>
    <row r="331" spans="1:2" x14ac:dyDescent="0.25">
      <c r="A331" s="5"/>
      <c r="B331" s="193"/>
    </row>
    <row r="332" spans="1:2" x14ac:dyDescent="0.25">
      <c r="A332" s="5"/>
      <c r="B332" s="193"/>
    </row>
    <row r="333" spans="1:2" x14ac:dyDescent="0.25">
      <c r="A333" s="5"/>
      <c r="B333" s="193"/>
    </row>
    <row r="334" spans="1:2" x14ac:dyDescent="0.25">
      <c r="A334" s="5"/>
      <c r="B334" s="193"/>
    </row>
    <row r="335" spans="1:2" x14ac:dyDescent="0.25">
      <c r="A335" s="5"/>
      <c r="B335" s="193"/>
    </row>
    <row r="336" spans="1:2" x14ac:dyDescent="0.25">
      <c r="A336" s="5"/>
      <c r="B336" s="193"/>
    </row>
    <row r="337" spans="1:2" x14ac:dyDescent="0.25">
      <c r="A337" s="5"/>
      <c r="B337" s="193"/>
    </row>
    <row r="338" spans="1:2" x14ac:dyDescent="0.25">
      <c r="A338" s="5"/>
      <c r="B338" s="193"/>
    </row>
    <row r="339" spans="1:2" x14ac:dyDescent="0.25">
      <c r="A339" s="5"/>
      <c r="B339" s="193"/>
    </row>
    <row r="340" spans="1:2" x14ac:dyDescent="0.25">
      <c r="A340" s="5"/>
      <c r="B340" s="193"/>
    </row>
    <row r="341" spans="1:2" x14ac:dyDescent="0.25">
      <c r="A341" s="5"/>
      <c r="B341" s="193"/>
    </row>
    <row r="342" spans="1:2" x14ac:dyDescent="0.25">
      <c r="A342" s="5"/>
      <c r="B342" s="193"/>
    </row>
    <row r="343" spans="1:2" x14ac:dyDescent="0.25">
      <c r="A343" s="5"/>
      <c r="B343" s="193"/>
    </row>
    <row r="344" spans="1:2" x14ac:dyDescent="0.25">
      <c r="A344" s="5"/>
      <c r="B344" s="193"/>
    </row>
    <row r="345" spans="1:2" x14ac:dyDescent="0.25">
      <c r="A345" s="5"/>
      <c r="B345" s="193"/>
    </row>
    <row r="346" spans="1:2" x14ac:dyDescent="0.25">
      <c r="A346" s="5"/>
      <c r="B346" s="193"/>
    </row>
    <row r="347" spans="1:2" x14ac:dyDescent="0.25">
      <c r="A347" s="5"/>
      <c r="B347" s="193"/>
    </row>
    <row r="348" spans="1:2" x14ac:dyDescent="0.25">
      <c r="A348" s="5"/>
      <c r="B348" s="193"/>
    </row>
    <row r="349" spans="1:2" x14ac:dyDescent="0.25">
      <c r="A349" s="5"/>
      <c r="B349" s="193"/>
    </row>
    <row r="350" spans="1:2" x14ac:dyDescent="0.25">
      <c r="A350" s="5"/>
      <c r="B350" s="193"/>
    </row>
    <row r="351" spans="1:2" x14ac:dyDescent="0.25">
      <c r="A351" s="5"/>
      <c r="B351" s="193"/>
    </row>
    <row r="352" spans="1:2" x14ac:dyDescent="0.25">
      <c r="A352" s="5"/>
      <c r="B352" s="193"/>
    </row>
    <row r="353" spans="1:2" x14ac:dyDescent="0.25">
      <c r="A353" s="5"/>
      <c r="B353" s="193"/>
    </row>
    <row r="354" spans="1:2" x14ac:dyDescent="0.25">
      <c r="A354" s="5"/>
      <c r="B354" s="193"/>
    </row>
    <row r="355" spans="1:2" x14ac:dyDescent="0.25">
      <c r="A355" s="5"/>
      <c r="B355" s="193"/>
    </row>
    <row r="356" spans="1:2" x14ac:dyDescent="0.25">
      <c r="A356" s="5"/>
      <c r="B356" s="193"/>
    </row>
    <row r="357" spans="1:2" x14ac:dyDescent="0.25">
      <c r="A357" s="5"/>
      <c r="B357" s="193"/>
    </row>
    <row r="358" spans="1:2" x14ac:dyDescent="0.25">
      <c r="A358" s="5"/>
      <c r="B358" s="193"/>
    </row>
    <row r="359" spans="1:2" x14ac:dyDescent="0.25">
      <c r="A359" s="5"/>
      <c r="B359" s="193"/>
    </row>
    <row r="360" spans="1:2" x14ac:dyDescent="0.25">
      <c r="A360" s="5"/>
      <c r="B360" s="193"/>
    </row>
    <row r="361" spans="1:2" x14ac:dyDescent="0.25">
      <c r="A361" s="5"/>
      <c r="B361" s="193"/>
    </row>
    <row r="362" spans="1:2" x14ac:dyDescent="0.25">
      <c r="A362" s="5"/>
      <c r="B362" s="193"/>
    </row>
    <row r="363" spans="1:2" x14ac:dyDescent="0.25">
      <c r="A363" s="5"/>
      <c r="B363" s="193"/>
    </row>
    <row r="364" spans="1:2" x14ac:dyDescent="0.25">
      <c r="A364" s="5"/>
      <c r="B364" s="193"/>
    </row>
    <row r="365" spans="1:2" x14ac:dyDescent="0.25">
      <c r="A365" s="5"/>
      <c r="B365" s="193"/>
    </row>
    <row r="366" spans="1:2" x14ac:dyDescent="0.25">
      <c r="A366" s="5"/>
      <c r="B366" s="193"/>
    </row>
    <row r="367" spans="1:2" x14ac:dyDescent="0.25">
      <c r="A367" s="5"/>
      <c r="B367" s="193"/>
    </row>
    <row r="368" spans="1:2" x14ac:dyDescent="0.25">
      <c r="A368" s="5"/>
      <c r="B368" s="193"/>
    </row>
    <row r="369" spans="1:2" x14ac:dyDescent="0.25">
      <c r="A369" s="5"/>
      <c r="B369" s="193"/>
    </row>
    <row r="370" spans="1:2" x14ac:dyDescent="0.25">
      <c r="A370" s="5"/>
      <c r="B370" s="193"/>
    </row>
    <row r="371" spans="1:2" x14ac:dyDescent="0.25">
      <c r="A371" s="5"/>
      <c r="B371" s="193"/>
    </row>
    <row r="372" spans="1:2" x14ac:dyDescent="0.25">
      <c r="A372" s="5"/>
      <c r="B372" s="193"/>
    </row>
    <row r="373" spans="1:2" x14ac:dyDescent="0.25">
      <c r="A373" s="5"/>
      <c r="B373" s="193"/>
    </row>
    <row r="374" spans="1:2" x14ac:dyDescent="0.25">
      <c r="A374" s="5"/>
      <c r="B374" s="193"/>
    </row>
    <row r="375" spans="1:2" x14ac:dyDescent="0.25">
      <c r="A375" s="5"/>
      <c r="B375" s="193"/>
    </row>
    <row r="376" spans="1:2" x14ac:dyDescent="0.25">
      <c r="A376" s="5"/>
      <c r="B376" s="193"/>
    </row>
    <row r="377" spans="1:2" x14ac:dyDescent="0.25">
      <c r="A377" s="5"/>
      <c r="B377" s="193"/>
    </row>
    <row r="378" spans="1:2" x14ac:dyDescent="0.25">
      <c r="A378" s="5"/>
      <c r="B378" s="193"/>
    </row>
    <row r="379" spans="1:2" x14ac:dyDescent="0.25">
      <c r="A379" s="5"/>
      <c r="B379" s="193"/>
    </row>
    <row r="380" spans="1:2" x14ac:dyDescent="0.25">
      <c r="A380" s="5"/>
      <c r="B380" s="193"/>
    </row>
    <row r="381" spans="1:2" x14ac:dyDescent="0.25">
      <c r="A381" s="5"/>
      <c r="B381" s="193"/>
    </row>
    <row r="382" spans="1:2" x14ac:dyDescent="0.25">
      <c r="A382" s="5"/>
      <c r="B382" s="193"/>
    </row>
    <row r="383" spans="1:2" x14ac:dyDescent="0.25">
      <c r="A383" s="5"/>
      <c r="B383" s="193"/>
    </row>
    <row r="384" spans="1:2" x14ac:dyDescent="0.25">
      <c r="A384" s="5"/>
      <c r="B384" s="193"/>
    </row>
    <row r="385" spans="1:2" x14ac:dyDescent="0.25">
      <c r="A385" s="5"/>
      <c r="B385" s="193"/>
    </row>
    <row r="386" spans="1:2" x14ac:dyDescent="0.25">
      <c r="A386" s="5"/>
      <c r="B386" s="193"/>
    </row>
    <row r="387" spans="1:2" x14ac:dyDescent="0.25">
      <c r="A387" s="5"/>
      <c r="B387" s="193"/>
    </row>
    <row r="388" spans="1:2" x14ac:dyDescent="0.25">
      <c r="A388" s="5"/>
      <c r="B388" s="193"/>
    </row>
    <row r="389" spans="1:2" x14ac:dyDescent="0.25">
      <c r="A389" s="5"/>
      <c r="B389" s="193"/>
    </row>
    <row r="390" spans="1:2" x14ac:dyDescent="0.25">
      <c r="A390" s="5"/>
      <c r="B390" s="193"/>
    </row>
    <row r="391" spans="1:2" x14ac:dyDescent="0.25">
      <c r="A391" s="5"/>
      <c r="B391" s="193"/>
    </row>
    <row r="392" spans="1:2" x14ac:dyDescent="0.25">
      <c r="A392" s="5"/>
      <c r="B392" s="193"/>
    </row>
    <row r="393" spans="1:2" x14ac:dyDescent="0.25">
      <c r="A393" s="5"/>
      <c r="B393" s="193"/>
    </row>
    <row r="394" spans="1:2" x14ac:dyDescent="0.25">
      <c r="A394" s="5"/>
      <c r="B394" s="193"/>
    </row>
    <row r="395" spans="1:2" x14ac:dyDescent="0.25">
      <c r="A395" s="5"/>
      <c r="B395" s="193"/>
    </row>
    <row r="396" spans="1:2" x14ac:dyDescent="0.25">
      <c r="A396" s="5"/>
      <c r="B396" s="193"/>
    </row>
    <row r="397" spans="1:2" x14ac:dyDescent="0.25">
      <c r="A397" s="5"/>
      <c r="B397" s="193"/>
    </row>
    <row r="398" spans="1:2" x14ac:dyDescent="0.25">
      <c r="A398" s="5"/>
      <c r="B398" s="193"/>
    </row>
    <row r="399" spans="1:2" x14ac:dyDescent="0.25">
      <c r="A399" s="5"/>
      <c r="B399" s="193"/>
    </row>
    <row r="400" spans="1:2" x14ac:dyDescent="0.25">
      <c r="A400" s="5"/>
      <c r="B400" s="193"/>
    </row>
    <row r="401" spans="1:2" x14ac:dyDescent="0.25">
      <c r="A401" s="5"/>
      <c r="B401" s="193"/>
    </row>
    <row r="402" spans="1:2" x14ac:dyDescent="0.25">
      <c r="A402" s="5"/>
      <c r="B402" s="193"/>
    </row>
    <row r="403" spans="1:2" x14ac:dyDescent="0.25">
      <c r="A403" s="5"/>
      <c r="B403" s="193"/>
    </row>
    <row r="404" spans="1:2" x14ac:dyDescent="0.25">
      <c r="A404" s="5"/>
      <c r="B404" s="193"/>
    </row>
    <row r="405" spans="1:2" x14ac:dyDescent="0.25">
      <c r="A405" s="5"/>
      <c r="B405" s="193"/>
    </row>
    <row r="406" spans="1:2" x14ac:dyDescent="0.25">
      <c r="A406" s="5"/>
      <c r="B406" s="193"/>
    </row>
    <row r="407" spans="1:2" x14ac:dyDescent="0.25">
      <c r="A407" s="5"/>
      <c r="B407" s="193"/>
    </row>
    <row r="408" spans="1:2" x14ac:dyDescent="0.25">
      <c r="A408" s="5"/>
      <c r="B408" s="193"/>
    </row>
    <row r="409" spans="1:2" x14ac:dyDescent="0.25">
      <c r="A409" s="5"/>
      <c r="B409" s="193"/>
    </row>
    <row r="410" spans="1:2" x14ac:dyDescent="0.25">
      <c r="A410" s="5"/>
      <c r="B410" s="193"/>
    </row>
    <row r="411" spans="1:2" x14ac:dyDescent="0.25">
      <c r="A411" s="5"/>
      <c r="B411" s="193"/>
    </row>
    <row r="412" spans="1:2" x14ac:dyDescent="0.25">
      <c r="A412" s="5"/>
      <c r="B412" s="193"/>
    </row>
    <row r="413" spans="1:2" x14ac:dyDescent="0.25">
      <c r="A413" s="5"/>
      <c r="B413" s="193"/>
    </row>
    <row r="414" spans="1:2" x14ac:dyDescent="0.25">
      <c r="A414" s="5"/>
      <c r="B414" s="193"/>
    </row>
    <row r="415" spans="1:2" x14ac:dyDescent="0.25">
      <c r="A415" s="5"/>
      <c r="B415" s="193"/>
    </row>
    <row r="416" spans="1:2" x14ac:dyDescent="0.25">
      <c r="A416" s="5"/>
      <c r="B416" s="193"/>
    </row>
    <row r="417" spans="1:2" x14ac:dyDescent="0.25">
      <c r="A417" s="5"/>
      <c r="B417" s="193"/>
    </row>
    <row r="418" spans="1:2" x14ac:dyDescent="0.25">
      <c r="A418" s="5"/>
      <c r="B418" s="193"/>
    </row>
    <row r="419" spans="1:2" x14ac:dyDescent="0.25">
      <c r="A419" s="5"/>
      <c r="B419" s="193"/>
    </row>
    <row r="420" spans="1:2" x14ac:dyDescent="0.25">
      <c r="A420" s="5"/>
      <c r="B420" s="193"/>
    </row>
    <row r="421" spans="1:2" x14ac:dyDescent="0.25">
      <c r="A421" s="5"/>
      <c r="B421" s="193"/>
    </row>
    <row r="422" spans="1:2" x14ac:dyDescent="0.25">
      <c r="A422" s="5"/>
      <c r="B422" s="193"/>
    </row>
    <row r="423" spans="1:2" x14ac:dyDescent="0.25">
      <c r="A423" s="5"/>
      <c r="B423" s="193"/>
    </row>
    <row r="424" spans="1:2" x14ac:dyDescent="0.25">
      <c r="A424" s="5"/>
      <c r="B424" s="193"/>
    </row>
    <row r="425" spans="1:2" x14ac:dyDescent="0.25">
      <c r="A425" s="5"/>
      <c r="B425" s="193"/>
    </row>
    <row r="426" spans="1:2" x14ac:dyDescent="0.25">
      <c r="A426" s="5"/>
      <c r="B426" s="193"/>
    </row>
    <row r="427" spans="1:2" x14ac:dyDescent="0.25">
      <c r="A427" s="5"/>
      <c r="B427" s="193"/>
    </row>
    <row r="428" spans="1:2" x14ac:dyDescent="0.25">
      <c r="A428" s="5"/>
      <c r="B428" s="193"/>
    </row>
    <row r="429" spans="1:2" x14ac:dyDescent="0.25">
      <c r="A429" s="5"/>
      <c r="B429" s="193"/>
    </row>
    <row r="430" spans="1:2" x14ac:dyDescent="0.25">
      <c r="A430" s="5"/>
      <c r="B430" s="193"/>
    </row>
    <row r="431" spans="1:2" x14ac:dyDescent="0.25">
      <c r="A431" s="5"/>
      <c r="B431" s="193"/>
    </row>
    <row r="432" spans="1:2" x14ac:dyDescent="0.25">
      <c r="A432" s="5"/>
      <c r="B432" s="193"/>
    </row>
    <row r="433" spans="1:2" x14ac:dyDescent="0.25">
      <c r="A433" s="5"/>
      <c r="B433" s="193"/>
    </row>
    <row r="434" spans="1:2" x14ac:dyDescent="0.25">
      <c r="A434" s="5"/>
      <c r="B434" s="193"/>
    </row>
    <row r="435" spans="1:2" x14ac:dyDescent="0.25">
      <c r="A435" s="5"/>
      <c r="B435" s="193"/>
    </row>
    <row r="436" spans="1:2" x14ac:dyDescent="0.25">
      <c r="A436" s="5"/>
      <c r="B436" s="193"/>
    </row>
    <row r="437" spans="1:2" x14ac:dyDescent="0.25">
      <c r="A437" s="5"/>
      <c r="B437" s="193"/>
    </row>
    <row r="438" spans="1:2" x14ac:dyDescent="0.25">
      <c r="A438" s="5"/>
      <c r="B438" s="193"/>
    </row>
    <row r="439" spans="1:2" x14ac:dyDescent="0.25">
      <c r="A439" s="5"/>
      <c r="B439" s="193"/>
    </row>
    <row r="440" spans="1:2" x14ac:dyDescent="0.25">
      <c r="A440" s="5"/>
      <c r="B440" s="193"/>
    </row>
    <row r="441" spans="1:2" x14ac:dyDescent="0.25">
      <c r="A441" s="5"/>
      <c r="B441" s="193"/>
    </row>
    <row r="442" spans="1:2" x14ac:dyDescent="0.25">
      <c r="A442" s="5"/>
      <c r="B442" s="193"/>
    </row>
    <row r="443" spans="1:2" x14ac:dyDescent="0.25">
      <c r="A443" s="5"/>
      <c r="B443" s="193"/>
    </row>
    <row r="444" spans="1:2" x14ac:dyDescent="0.25">
      <c r="A444" s="5"/>
      <c r="B444" s="193"/>
    </row>
    <row r="445" spans="1:2" x14ac:dyDescent="0.25">
      <c r="A445" s="5"/>
      <c r="B445" s="193"/>
    </row>
    <row r="446" spans="1:2" x14ac:dyDescent="0.25">
      <c r="A446" s="5"/>
      <c r="B446" s="193"/>
    </row>
    <row r="447" spans="1:2" x14ac:dyDescent="0.25">
      <c r="A447" s="5"/>
      <c r="B447" s="193"/>
    </row>
    <row r="448" spans="1:2" x14ac:dyDescent="0.25">
      <c r="A448" s="5"/>
      <c r="B448" s="193"/>
    </row>
    <row r="449" spans="1:2" x14ac:dyDescent="0.25">
      <c r="A449" s="5"/>
      <c r="B449" s="193"/>
    </row>
    <row r="450" spans="1:2" x14ac:dyDescent="0.25">
      <c r="A450" s="5"/>
      <c r="B450" s="193"/>
    </row>
    <row r="451" spans="1:2" x14ac:dyDescent="0.25">
      <c r="A451" s="5"/>
      <c r="B451" s="193"/>
    </row>
    <row r="452" spans="1:2" x14ac:dyDescent="0.25">
      <c r="A452" s="5"/>
      <c r="B452" s="193"/>
    </row>
    <row r="453" spans="1:2" x14ac:dyDescent="0.25">
      <c r="A453" s="5"/>
      <c r="B453" s="193"/>
    </row>
    <row r="454" spans="1:2" x14ac:dyDescent="0.25">
      <c r="A454" s="5"/>
      <c r="B454" s="193"/>
    </row>
    <row r="455" spans="1:2" x14ac:dyDescent="0.25">
      <c r="A455" s="5"/>
      <c r="B455" s="193"/>
    </row>
    <row r="456" spans="1:2" x14ac:dyDescent="0.25">
      <c r="A456" s="5"/>
      <c r="B456" s="193"/>
    </row>
    <row r="457" spans="1:2" x14ac:dyDescent="0.25">
      <c r="A457" s="5"/>
      <c r="B457" s="193"/>
    </row>
    <row r="458" spans="1:2" x14ac:dyDescent="0.25">
      <c r="A458" s="5"/>
      <c r="B458" s="193"/>
    </row>
    <row r="459" spans="1:2" x14ac:dyDescent="0.25">
      <c r="A459" s="5"/>
      <c r="B459" s="193"/>
    </row>
    <row r="460" spans="1:2" x14ac:dyDescent="0.25">
      <c r="A460" s="5"/>
      <c r="B460" s="193"/>
    </row>
    <row r="461" spans="1:2" x14ac:dyDescent="0.25">
      <c r="A461" s="5"/>
      <c r="B461" s="193"/>
    </row>
    <row r="462" spans="1:2" x14ac:dyDescent="0.25">
      <c r="A462" s="5"/>
      <c r="B462" s="193"/>
    </row>
    <row r="463" spans="1:2" x14ac:dyDescent="0.25">
      <c r="A463" s="5"/>
      <c r="B463" s="193"/>
    </row>
    <row r="464" spans="1:2" x14ac:dyDescent="0.25">
      <c r="A464" s="5"/>
      <c r="B464" s="193"/>
    </row>
    <row r="465" spans="1:2" x14ac:dyDescent="0.25">
      <c r="A465" s="5"/>
      <c r="B465" s="193"/>
    </row>
    <row r="466" spans="1:2" x14ac:dyDescent="0.25">
      <c r="A466" s="5"/>
      <c r="B466" s="193"/>
    </row>
    <row r="467" spans="1:2" x14ac:dyDescent="0.25">
      <c r="A467" s="5"/>
      <c r="B467" s="193"/>
    </row>
    <row r="468" spans="1:2" x14ac:dyDescent="0.25">
      <c r="A468" s="5"/>
      <c r="B468" s="193"/>
    </row>
    <row r="469" spans="1:2" x14ac:dyDescent="0.25">
      <c r="A469" s="5"/>
      <c r="B469" s="193"/>
    </row>
    <row r="470" spans="1:2" x14ac:dyDescent="0.25">
      <c r="A470" s="5"/>
      <c r="B470" s="193"/>
    </row>
    <row r="471" spans="1:2" x14ac:dyDescent="0.25">
      <c r="A471" s="5"/>
      <c r="B471" s="193"/>
    </row>
    <row r="472" spans="1:2" x14ac:dyDescent="0.25">
      <c r="A472" s="5"/>
      <c r="B472" s="193"/>
    </row>
    <row r="473" spans="1:2" x14ac:dyDescent="0.25">
      <c r="A473" s="5"/>
      <c r="B473" s="193"/>
    </row>
    <row r="474" spans="1:2" x14ac:dyDescent="0.25">
      <c r="A474" s="5"/>
      <c r="B474" s="193"/>
    </row>
    <row r="475" spans="1:2" x14ac:dyDescent="0.25">
      <c r="A475" s="5"/>
      <c r="B475" s="193"/>
    </row>
    <row r="476" spans="1:2" x14ac:dyDescent="0.25">
      <c r="A476" s="5"/>
      <c r="B476" s="193"/>
    </row>
    <row r="477" spans="1:2" x14ac:dyDescent="0.25">
      <c r="A477" s="5"/>
      <c r="B477" s="193"/>
    </row>
    <row r="478" spans="1:2" x14ac:dyDescent="0.25">
      <c r="A478" s="5"/>
      <c r="B478" s="193"/>
    </row>
  </sheetData>
  <autoFilter ref="A1:E478"/>
  <dataValidations count="1">
    <dataValidation allowBlank="1" showInputMessage="1" showErrorMessage="1" promptTitle="Web tool" prompt="Use this tool to populate Impacted System's with thier correct names" sqref="D1"/>
  </dataValidations>
  <hyperlinks>
    <hyperlink ref="D1" r:id="rId1"/>
  </hyperlinks>
  <pageMargins left="0.7" right="0.7" top="0.75" bottom="0.75" header="0.3" footer="0.3"/>
  <pageSetup orientation="portrait"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RDConvertSheet">
    <tabColor theme="4" tint="0.59999389629810485"/>
  </sheetPr>
  <dimension ref="A1:Q2"/>
  <sheetViews>
    <sheetView workbookViewId="0">
      <pane ySplit="2" topLeftCell="A3" activePane="bottomLeft" state="frozenSplit"/>
      <selection pane="bottomLeft" activeCell="A2" sqref="A2"/>
    </sheetView>
  </sheetViews>
  <sheetFormatPr defaultColWidth="17.140625" defaultRowHeight="15" x14ac:dyDescent="0.25"/>
  <cols>
    <col min="1" max="4" width="17.140625" style="22"/>
    <col min="5" max="5" width="19.5703125" style="22" customWidth="1"/>
    <col min="6" max="7" width="17.140625" style="22"/>
    <col min="8" max="8" width="22.28515625" style="22" customWidth="1"/>
    <col min="9" max="16384" width="17.140625" style="22"/>
  </cols>
  <sheetData>
    <row r="1" spans="1:17" s="97" customFormat="1" ht="54" customHeight="1" thickBot="1" x14ac:dyDescent="0.3">
      <c r="A1" s="277" t="s">
        <v>568</v>
      </c>
      <c r="B1" s="278"/>
      <c r="C1" s="278"/>
      <c r="D1" s="278"/>
      <c r="E1" s="278"/>
      <c r="F1" s="278"/>
      <c r="G1" s="278"/>
      <c r="H1" s="278"/>
      <c r="I1" s="278"/>
      <c r="J1" s="278"/>
    </row>
    <row r="2" spans="1:17" s="94" customFormat="1" x14ac:dyDescent="0.25">
      <c r="A2" s="95"/>
      <c r="B2" s="93"/>
      <c r="C2" s="93"/>
      <c r="D2" s="93"/>
      <c r="E2" s="93"/>
      <c r="F2" s="93"/>
      <c r="G2" s="93"/>
      <c r="H2" s="93"/>
      <c r="I2" s="93"/>
      <c r="J2" s="93"/>
      <c r="K2" s="93"/>
      <c r="L2" s="93"/>
      <c r="M2" s="93"/>
      <c r="N2" s="93"/>
      <c r="O2" s="93"/>
      <c r="P2" s="93"/>
      <c r="Q2" s="96"/>
    </row>
  </sheetData>
  <mergeCells count="1">
    <mergeCell ref="A1:J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BASheet">
    <tabColor theme="2" tint="-0.249977111117893"/>
  </sheetPr>
  <dimension ref="A1:L87"/>
  <sheetViews>
    <sheetView zoomScale="89" zoomScaleNormal="89" workbookViewId="0">
      <pane xSplit="6" ySplit="1" topLeftCell="G2" activePane="bottomRight" state="frozen"/>
      <selection pane="topRight" activeCell="B1" sqref="B1"/>
      <selection pane="bottomLeft" activeCell="A2" sqref="A2"/>
      <selection pane="bottomRight" activeCell="G5" sqref="G5"/>
    </sheetView>
  </sheetViews>
  <sheetFormatPr defaultRowHeight="15" x14ac:dyDescent="0.25"/>
  <cols>
    <col min="1" max="1" width="12.28515625" style="10" customWidth="1"/>
    <col min="2" max="2" width="21.28515625" style="5" customWidth="1"/>
    <col min="3" max="3" width="11.28515625" style="10" customWidth="1"/>
    <col min="4" max="4" width="18.7109375" style="5" customWidth="1"/>
    <col min="5" max="5" width="38.140625" style="5" customWidth="1"/>
    <col min="6" max="6" width="12" style="10" customWidth="1"/>
    <col min="7" max="7" width="41.5703125" style="10" customWidth="1"/>
    <col min="8" max="8" width="19.7109375" style="10" customWidth="1"/>
    <col min="9" max="9" width="23.85546875" style="10" customWidth="1"/>
    <col min="10" max="10" width="38.140625" style="5" customWidth="1"/>
    <col min="11" max="11" width="68.28515625" style="5" customWidth="1"/>
    <col min="12" max="12" width="18.7109375" style="10" customWidth="1"/>
    <col min="13" max="16384" width="9.140625" style="10"/>
  </cols>
  <sheetData>
    <row r="1" spans="1:12" s="1" customFormat="1" x14ac:dyDescent="0.25">
      <c r="A1" s="40" t="s">
        <v>113</v>
      </c>
      <c r="B1" s="41" t="s">
        <v>114</v>
      </c>
      <c r="C1" s="40" t="s">
        <v>115</v>
      </c>
      <c r="D1" s="41" t="s">
        <v>116</v>
      </c>
      <c r="E1" s="41" t="s">
        <v>452</v>
      </c>
      <c r="F1" s="41" t="s">
        <v>117</v>
      </c>
      <c r="G1" s="41" t="s">
        <v>118</v>
      </c>
      <c r="H1" s="41" t="s">
        <v>119</v>
      </c>
      <c r="I1" s="41" t="s">
        <v>120</v>
      </c>
      <c r="J1" s="41" t="s">
        <v>451</v>
      </c>
      <c r="K1" s="41" t="s">
        <v>2</v>
      </c>
      <c r="L1" s="1" t="s">
        <v>538</v>
      </c>
    </row>
    <row r="2" spans="1:12" ht="60" x14ac:dyDescent="0.25">
      <c r="A2" s="17" t="s">
        <v>234</v>
      </c>
      <c r="B2" s="20" t="str">
        <f t="shared" ref="B2:B33" si="0">IF((ISBLANK(A2)),G2,(INDEX($F:$G,(MATCH(A2,F:F,0)),2)))</f>
        <v>Provider and Network Management</v>
      </c>
      <c r="C2" s="17" t="str">
        <f>A2</f>
        <v>PB01</v>
      </c>
      <c r="D2" s="20" t="str">
        <f>B2</f>
        <v>Provider and Network Management</v>
      </c>
      <c r="E2" s="20" t="str">
        <f t="shared" ref="E2:E33" si="1">IF(I2="OBA Domain Level 0",B2,(IF(I2="OBA Function Level 1",(CONCATENATE(B2,".",D2)),(CONCATENATE(B2,".",D2,".",G2)))))</f>
        <v>Provider and Network Management</v>
      </c>
      <c r="F2" s="17" t="s">
        <v>234</v>
      </c>
      <c r="G2" s="17" t="s">
        <v>235</v>
      </c>
      <c r="H2" s="17" t="s">
        <v>236</v>
      </c>
      <c r="I2" s="17" t="s">
        <v>124</v>
      </c>
      <c r="J2" s="20" t="str">
        <f t="shared" ref="J2:J33" si="2">IF(I2="OBA Domain Level 0",(CONCATENATE(C2,"-",D2)),(IF(I2="OBA Function Level 1",(CONCATENATE(" ", C2,"-",D2)),(CONCATENATE(" ", C2,"-",G2)))))</f>
        <v>PB01-Provider and Network Management</v>
      </c>
      <c r="K2" s="20" t="s">
        <v>453</v>
      </c>
      <c r="L2" s="20">
        <v>1</v>
      </c>
    </row>
    <row r="3" spans="1:12" ht="45" x14ac:dyDescent="0.25">
      <c r="A3" s="18" t="s">
        <v>234</v>
      </c>
      <c r="B3" s="21" t="str">
        <f t="shared" si="0"/>
        <v>Provider and Network Management</v>
      </c>
      <c r="C3" s="18" t="s">
        <v>257</v>
      </c>
      <c r="D3" s="21" t="str">
        <f>IF(I3="OBA Domain Level 0","",(IF(I3="OBA Function Level 1",G3,(INDEX(F:G,(MATCH(C3,F:F,0)),2)))))</f>
        <v>Network Management</v>
      </c>
      <c r="E3" s="21" t="str">
        <f t="shared" si="1"/>
        <v>Provider and Network Management.Network Management</v>
      </c>
      <c r="F3" s="18" t="s">
        <v>257</v>
      </c>
      <c r="G3" s="18" t="s">
        <v>258</v>
      </c>
      <c r="H3" s="18" t="s">
        <v>259</v>
      </c>
      <c r="I3" s="18" t="s">
        <v>141</v>
      </c>
      <c r="J3" s="21" t="str">
        <f t="shared" si="2"/>
        <v xml:space="preserve"> PB1.1-Network Management</v>
      </c>
      <c r="K3" s="21" t="s">
        <v>454</v>
      </c>
      <c r="L3" s="21">
        <v>1</v>
      </c>
    </row>
    <row r="4" spans="1:12" ht="30" x14ac:dyDescent="0.25">
      <c r="A4" s="18" t="s">
        <v>234</v>
      </c>
      <c r="B4" s="21" t="str">
        <f t="shared" si="0"/>
        <v>Provider and Network Management</v>
      </c>
      <c r="C4" s="18" t="s">
        <v>260</v>
      </c>
      <c r="D4" s="21" t="str">
        <f>IF(I4="OBA Domain Level 0","",(IF(I4="OBA Function Level 1",G4,(INDEX(F:G,(MATCH(C4,F:F,0)),2)))))</f>
        <v>Provider Contracting</v>
      </c>
      <c r="E4" s="21" t="str">
        <f t="shared" si="1"/>
        <v>Provider and Network Management.Provider Contracting</v>
      </c>
      <c r="F4" s="18" t="s">
        <v>260</v>
      </c>
      <c r="G4" s="18" t="s">
        <v>261</v>
      </c>
      <c r="H4" s="18" t="s">
        <v>262</v>
      </c>
      <c r="I4" s="18" t="s">
        <v>141</v>
      </c>
      <c r="J4" s="21" t="str">
        <f t="shared" si="2"/>
        <v xml:space="preserve"> PB1.2-Provider Contracting</v>
      </c>
      <c r="K4" s="21" t="s">
        <v>455</v>
      </c>
      <c r="L4" s="21">
        <v>1</v>
      </c>
    </row>
    <row r="5" spans="1:12" ht="30" x14ac:dyDescent="0.25">
      <c r="A5" s="18" t="s">
        <v>234</v>
      </c>
      <c r="B5" s="21" t="str">
        <f t="shared" si="0"/>
        <v>Provider and Network Management</v>
      </c>
      <c r="C5" s="18" t="s">
        <v>263</v>
      </c>
      <c r="D5" s="21" t="str">
        <f>IF(I5="OBA Domain Level 0","",(IF(I5="OBA Function Level 1",G5,(INDEX(F:G,(MATCH(C5,F:F,0)),2)))))</f>
        <v>Provider Credentialing</v>
      </c>
      <c r="E5" s="21" t="str">
        <f t="shared" si="1"/>
        <v>Provider and Network Management.Provider Credentialing</v>
      </c>
      <c r="F5" s="18" t="s">
        <v>263</v>
      </c>
      <c r="G5" s="18" t="s">
        <v>264</v>
      </c>
      <c r="H5" s="18" t="s">
        <v>265</v>
      </c>
      <c r="I5" s="18" t="s">
        <v>141</v>
      </c>
      <c r="J5" s="21" t="str">
        <f t="shared" si="2"/>
        <v xml:space="preserve"> PB1.3-Provider Credentialing</v>
      </c>
      <c r="K5" s="21" t="s">
        <v>456</v>
      </c>
      <c r="L5" s="21">
        <v>1</v>
      </c>
    </row>
    <row r="6" spans="1:12" ht="45" x14ac:dyDescent="0.25">
      <c r="A6" s="18" t="s">
        <v>234</v>
      </c>
      <c r="B6" s="21" t="str">
        <f t="shared" si="0"/>
        <v>Provider and Network Management</v>
      </c>
      <c r="C6" s="18" t="s">
        <v>266</v>
      </c>
      <c r="D6" s="21" t="str">
        <f>IF(I6="OBA Domain Level 0","",(IF(I6="OBA Function Level 1",G6,(INDEX(F:G,(MATCH(C6,F:F,0)),2)))))</f>
        <v>Provider Servicing</v>
      </c>
      <c r="E6" s="21" t="str">
        <f t="shared" si="1"/>
        <v>Provider and Network Management.Provider Servicing</v>
      </c>
      <c r="F6" s="18" t="s">
        <v>266</v>
      </c>
      <c r="G6" s="18" t="s">
        <v>267</v>
      </c>
      <c r="H6" s="18" t="s">
        <v>268</v>
      </c>
      <c r="I6" s="18" t="s">
        <v>141</v>
      </c>
      <c r="J6" s="21" t="str">
        <f t="shared" si="2"/>
        <v xml:space="preserve"> PB1.4-Provider Servicing</v>
      </c>
      <c r="K6" s="21" t="s">
        <v>457</v>
      </c>
      <c r="L6" s="21">
        <v>1</v>
      </c>
    </row>
    <row r="7" spans="1:12" x14ac:dyDescent="0.25">
      <c r="A7" s="17" t="s">
        <v>237</v>
      </c>
      <c r="B7" s="20" t="str">
        <f t="shared" si="0"/>
        <v>Product</v>
      </c>
      <c r="C7" s="17" t="str">
        <f>A7</f>
        <v>PB02</v>
      </c>
      <c r="D7" s="20" t="str">
        <f>B7</f>
        <v>Product</v>
      </c>
      <c r="E7" s="20" t="str">
        <f t="shared" si="1"/>
        <v>Product</v>
      </c>
      <c r="F7" s="17" t="s">
        <v>237</v>
      </c>
      <c r="G7" s="17" t="s">
        <v>30</v>
      </c>
      <c r="H7" s="17" t="s">
        <v>238</v>
      </c>
      <c r="I7" s="17" t="s">
        <v>124</v>
      </c>
      <c r="J7" s="20" t="str">
        <f t="shared" si="2"/>
        <v>PB02-Product</v>
      </c>
      <c r="K7" s="20" t="s">
        <v>505</v>
      </c>
      <c r="L7" s="20">
        <v>1</v>
      </c>
    </row>
    <row r="8" spans="1:12" ht="30" x14ac:dyDescent="0.25">
      <c r="A8" s="18" t="s">
        <v>237</v>
      </c>
      <c r="B8" s="21" t="str">
        <f t="shared" si="0"/>
        <v>Product</v>
      </c>
      <c r="C8" s="18" t="s">
        <v>281</v>
      </c>
      <c r="D8" s="21" t="str">
        <f>IF(I8="OBA Domain Level 0","",(IF(I8="OBA Function Level 1",G8,(INDEX(F:G,(MATCH(C8,F:F,0)),2)))))</f>
        <v>Product Design</v>
      </c>
      <c r="E8" s="21" t="str">
        <f t="shared" si="1"/>
        <v>Product.Product Design</v>
      </c>
      <c r="F8" s="18" t="s">
        <v>281</v>
      </c>
      <c r="G8" s="18" t="s">
        <v>282</v>
      </c>
      <c r="H8" s="18" t="s">
        <v>283</v>
      </c>
      <c r="I8" s="18" t="s">
        <v>141</v>
      </c>
      <c r="J8" s="21" t="str">
        <f t="shared" si="2"/>
        <v xml:space="preserve"> PB2.1-Product Design</v>
      </c>
      <c r="K8" s="21" t="s">
        <v>506</v>
      </c>
      <c r="L8" s="21">
        <v>1</v>
      </c>
    </row>
    <row r="9" spans="1:12" ht="30" x14ac:dyDescent="0.25">
      <c r="A9" s="18" t="s">
        <v>237</v>
      </c>
      <c r="B9" s="21" t="str">
        <f t="shared" si="0"/>
        <v>Product</v>
      </c>
      <c r="C9" s="18" t="s">
        <v>284</v>
      </c>
      <c r="D9" s="21" t="str">
        <f>IF(I9="OBA Domain Level 0","",(IF(I9="OBA Function Level 1",G9,(INDEX(F:G,(MATCH(C9,F:F,0)),2)))))</f>
        <v>Build and Configure Products</v>
      </c>
      <c r="E9" s="21" t="str">
        <f t="shared" si="1"/>
        <v>Product.Build and Configure Products</v>
      </c>
      <c r="F9" s="18" t="s">
        <v>284</v>
      </c>
      <c r="G9" s="18" t="s">
        <v>285</v>
      </c>
      <c r="H9" s="18" t="s">
        <v>286</v>
      </c>
      <c r="I9" s="18" t="s">
        <v>141</v>
      </c>
      <c r="J9" s="21" t="str">
        <f t="shared" si="2"/>
        <v xml:space="preserve"> PB2.2-Build and Configure Products</v>
      </c>
      <c r="K9" s="21" t="s">
        <v>507</v>
      </c>
      <c r="L9" s="21">
        <v>1</v>
      </c>
    </row>
    <row r="10" spans="1:12" ht="30" x14ac:dyDescent="0.25">
      <c r="A10" s="18" t="s">
        <v>237</v>
      </c>
      <c r="B10" s="21" t="str">
        <f t="shared" si="0"/>
        <v>Product</v>
      </c>
      <c r="C10" s="18" t="s">
        <v>287</v>
      </c>
      <c r="D10" s="21" t="str">
        <f>IF(I10="OBA Domain Level 0","",(IF(I10="OBA Function Level 1",G10,(INDEX(F:G,(MATCH(C10,F:F,0)),2)))))</f>
        <v>Product Go-To Market</v>
      </c>
      <c r="E10" s="21" t="str">
        <f t="shared" si="1"/>
        <v>Product.Product Go-To Market</v>
      </c>
      <c r="F10" s="18" t="s">
        <v>287</v>
      </c>
      <c r="G10" s="18" t="s">
        <v>288</v>
      </c>
      <c r="H10" s="18" t="s">
        <v>289</v>
      </c>
      <c r="I10" s="18" t="s">
        <v>141</v>
      </c>
      <c r="J10" s="21" t="str">
        <f t="shared" si="2"/>
        <v xml:space="preserve"> PB2.3-Product Go-To Market</v>
      </c>
      <c r="K10" s="21" t="s">
        <v>508</v>
      </c>
      <c r="L10" s="21">
        <v>1</v>
      </c>
    </row>
    <row r="11" spans="1:12" ht="30" x14ac:dyDescent="0.25">
      <c r="A11" s="18" t="s">
        <v>237</v>
      </c>
      <c r="B11" s="21" t="str">
        <f t="shared" si="0"/>
        <v>Product</v>
      </c>
      <c r="C11" s="18" t="s">
        <v>290</v>
      </c>
      <c r="D11" s="21" t="str">
        <f>IF(I11="OBA Domain Level 0","",(IF(I11="OBA Function Level 1",G11,(INDEX(F:G,(MATCH(C11,F:F,0)),2)))))</f>
        <v>Product Portfolio Management</v>
      </c>
      <c r="E11" s="21" t="str">
        <f t="shared" si="1"/>
        <v>Product.Product Portfolio Management</v>
      </c>
      <c r="F11" s="18" t="s">
        <v>290</v>
      </c>
      <c r="G11" s="18" t="s">
        <v>291</v>
      </c>
      <c r="H11" s="18" t="s">
        <v>292</v>
      </c>
      <c r="I11" s="18" t="s">
        <v>141</v>
      </c>
      <c r="J11" s="21" t="str">
        <f t="shared" si="2"/>
        <v xml:space="preserve"> PB2.4-Product Portfolio Management</v>
      </c>
      <c r="K11" s="21" t="s">
        <v>509</v>
      </c>
      <c r="L11" s="21">
        <v>1</v>
      </c>
    </row>
    <row r="12" spans="1:12" ht="30" x14ac:dyDescent="0.25">
      <c r="A12" s="18" t="s">
        <v>237</v>
      </c>
      <c r="B12" s="21" t="str">
        <f t="shared" si="0"/>
        <v>Product</v>
      </c>
      <c r="C12" s="18" t="s">
        <v>293</v>
      </c>
      <c r="D12" s="21" t="str">
        <f>IF(I12="OBA Domain Level 0","",(IF(I12="OBA Function Level 1",G12,(INDEX(F:G,(MATCH(C12,F:F,0)),2)))))</f>
        <v>Product Governance</v>
      </c>
      <c r="E12" s="21" t="str">
        <f t="shared" si="1"/>
        <v>Product.Product Governance</v>
      </c>
      <c r="F12" s="18" t="s">
        <v>293</v>
      </c>
      <c r="G12" s="18" t="s">
        <v>294</v>
      </c>
      <c r="H12" s="18" t="s">
        <v>295</v>
      </c>
      <c r="I12" s="18" t="s">
        <v>141</v>
      </c>
      <c r="J12" s="21" t="str">
        <f t="shared" si="2"/>
        <v xml:space="preserve"> PB2.5-Product Governance</v>
      </c>
      <c r="K12" s="21" t="s">
        <v>510</v>
      </c>
      <c r="L12" s="21">
        <v>1</v>
      </c>
    </row>
    <row r="13" spans="1:12" ht="55.5" customHeight="1" x14ac:dyDescent="0.25">
      <c r="A13" s="17" t="s">
        <v>239</v>
      </c>
      <c r="B13" s="20" t="str">
        <f t="shared" si="0"/>
        <v>Pricing and Underwriting</v>
      </c>
      <c r="C13" s="17" t="str">
        <f>A13</f>
        <v>PB-03</v>
      </c>
      <c r="D13" s="20" t="str">
        <f>B13</f>
        <v>Pricing and Underwriting</v>
      </c>
      <c r="E13" s="20" t="str">
        <f t="shared" si="1"/>
        <v>Pricing and Underwriting</v>
      </c>
      <c r="F13" s="17" t="s">
        <v>239</v>
      </c>
      <c r="G13" s="17" t="s">
        <v>240</v>
      </c>
      <c r="H13" s="17" t="s">
        <v>241</v>
      </c>
      <c r="I13" s="17" t="s">
        <v>124</v>
      </c>
      <c r="J13" s="20" t="str">
        <f t="shared" si="2"/>
        <v>PB-03-Pricing and Underwriting</v>
      </c>
      <c r="K13" s="20" t="s">
        <v>501</v>
      </c>
      <c r="L13" s="20">
        <v>1</v>
      </c>
    </row>
    <row r="14" spans="1:12" ht="45" x14ac:dyDescent="0.25">
      <c r="A14" s="18" t="s">
        <v>239</v>
      </c>
      <c r="B14" s="21" t="str">
        <f t="shared" si="0"/>
        <v>Pricing and Underwriting</v>
      </c>
      <c r="C14" s="18" t="s">
        <v>296</v>
      </c>
      <c r="D14" s="21" t="str">
        <f>IF(I14="OBA Domain Level 0","",(IF(I14="OBA Function Level 1",G14,(INDEX(F:G,(MATCH(C14,F:F,0)),2)))))</f>
        <v>Pricing Methodology Development</v>
      </c>
      <c r="E14" s="21" t="str">
        <f t="shared" si="1"/>
        <v>Pricing and Underwriting.Pricing Methodology Development</v>
      </c>
      <c r="F14" s="18" t="s">
        <v>296</v>
      </c>
      <c r="G14" s="18" t="s">
        <v>297</v>
      </c>
      <c r="H14" s="18" t="s">
        <v>298</v>
      </c>
      <c r="I14" s="18" t="s">
        <v>141</v>
      </c>
      <c r="J14" s="21" t="str">
        <f t="shared" si="2"/>
        <v xml:space="preserve"> PB3.1-Pricing Methodology Development</v>
      </c>
      <c r="K14" s="21" t="s">
        <v>502</v>
      </c>
      <c r="L14" s="21">
        <v>1</v>
      </c>
    </row>
    <row r="15" spans="1:12" ht="45" x14ac:dyDescent="0.25">
      <c r="A15" s="18" t="s">
        <v>239</v>
      </c>
      <c r="B15" s="21" t="str">
        <f t="shared" si="0"/>
        <v>Pricing and Underwriting</v>
      </c>
      <c r="C15" s="18" t="s">
        <v>299</v>
      </c>
      <c r="D15" s="21" t="str">
        <f>IF(I15="OBA Domain Level 0","",(IF(I15="OBA Function Level 1",G15,(INDEX(F:G,(MATCH(C15,F:F,0)),2)))))</f>
        <v>Pricing and Underwriting Tool Management</v>
      </c>
      <c r="E15" s="21" t="str">
        <f t="shared" si="1"/>
        <v>Pricing and Underwriting.Pricing and Underwriting Tool Management</v>
      </c>
      <c r="F15" s="18" t="s">
        <v>299</v>
      </c>
      <c r="G15" s="18" t="s">
        <v>300</v>
      </c>
      <c r="H15" s="18" t="s">
        <v>301</v>
      </c>
      <c r="I15" s="18" t="s">
        <v>141</v>
      </c>
      <c r="J15" s="21" t="str">
        <f t="shared" si="2"/>
        <v xml:space="preserve"> PB3.2-Pricing and Underwriting Tool Management</v>
      </c>
      <c r="K15" s="21" t="s">
        <v>503</v>
      </c>
      <c r="L15" s="21">
        <v>1</v>
      </c>
    </row>
    <row r="16" spans="1:12" ht="30" x14ac:dyDescent="0.25">
      <c r="A16" s="18" t="s">
        <v>239</v>
      </c>
      <c r="B16" s="21" t="str">
        <f t="shared" si="0"/>
        <v>Pricing and Underwriting</v>
      </c>
      <c r="C16" s="18" t="s">
        <v>302</v>
      </c>
      <c r="D16" s="21" t="str">
        <f>IF(I16="OBA Domain Level 0","",(IF(I16="OBA Function Level 1",G16,(INDEX(F:G,(MATCH(C16,F:F,0)),2)))))</f>
        <v>Premium Development</v>
      </c>
      <c r="E16" s="21" t="str">
        <f t="shared" si="1"/>
        <v>Pricing and Underwriting.Premium Development</v>
      </c>
      <c r="F16" s="18" t="s">
        <v>302</v>
      </c>
      <c r="G16" s="18" t="s">
        <v>303</v>
      </c>
      <c r="H16" s="18" t="s">
        <v>304</v>
      </c>
      <c r="I16" s="18" t="s">
        <v>141</v>
      </c>
      <c r="J16" s="21" t="str">
        <f t="shared" si="2"/>
        <v xml:space="preserve"> PB3.3-Premium Development</v>
      </c>
      <c r="K16" s="21" t="s">
        <v>504</v>
      </c>
      <c r="L16" s="21">
        <v>1</v>
      </c>
    </row>
    <row r="17" spans="1:12" ht="51" customHeight="1" x14ac:dyDescent="0.25">
      <c r="A17" s="17" t="s">
        <v>242</v>
      </c>
      <c r="B17" s="20" t="str">
        <f t="shared" si="0"/>
        <v>Marketing</v>
      </c>
      <c r="C17" s="17" t="str">
        <f>A17</f>
        <v>PB-04</v>
      </c>
      <c r="D17" s="20" t="str">
        <f>B17</f>
        <v>Marketing</v>
      </c>
      <c r="E17" s="20" t="str">
        <f t="shared" si="1"/>
        <v>Marketing</v>
      </c>
      <c r="F17" s="17" t="s">
        <v>242</v>
      </c>
      <c r="G17" s="17" t="s">
        <v>98</v>
      </c>
      <c r="H17" s="17" t="s">
        <v>243</v>
      </c>
      <c r="I17" s="17" t="s">
        <v>124</v>
      </c>
      <c r="J17" s="20" t="str">
        <f t="shared" si="2"/>
        <v>PB-04-Marketing</v>
      </c>
      <c r="K17" s="20" t="s">
        <v>493</v>
      </c>
      <c r="L17" s="20">
        <v>1</v>
      </c>
    </row>
    <row r="18" spans="1:12" ht="45" x14ac:dyDescent="0.25">
      <c r="A18" s="18" t="s">
        <v>242</v>
      </c>
      <c r="B18" s="21" t="str">
        <f t="shared" si="0"/>
        <v>Marketing</v>
      </c>
      <c r="C18" s="18" t="s">
        <v>305</v>
      </c>
      <c r="D18" s="21" t="str">
        <f>IF(I18="OBA Domain Level 0","",(IF(I18="OBA Function Level 1",G18,(INDEX(F:G,(MATCH(C18,F:F,0)),2)))))</f>
        <v>Strategic Marketing</v>
      </c>
      <c r="E18" s="21" t="str">
        <f t="shared" si="1"/>
        <v>Marketing.Strategic Marketing</v>
      </c>
      <c r="F18" s="18" t="s">
        <v>305</v>
      </c>
      <c r="G18" s="18" t="s">
        <v>306</v>
      </c>
      <c r="H18" s="18" t="s">
        <v>307</v>
      </c>
      <c r="I18" s="18" t="s">
        <v>141</v>
      </c>
      <c r="J18" s="21" t="str">
        <f t="shared" si="2"/>
        <v xml:space="preserve"> PB4.1-Strategic Marketing</v>
      </c>
      <c r="K18" s="21" t="s">
        <v>494</v>
      </c>
      <c r="L18" s="21">
        <v>1</v>
      </c>
    </row>
    <row r="19" spans="1:12" ht="45" x14ac:dyDescent="0.25">
      <c r="A19" s="18" t="s">
        <v>242</v>
      </c>
      <c r="B19" s="21" t="str">
        <f t="shared" si="0"/>
        <v>Marketing</v>
      </c>
      <c r="C19" s="18" t="s">
        <v>308</v>
      </c>
      <c r="D19" s="21" t="str">
        <f>IF(I19="OBA Domain Level 0","",(IF(I19="OBA Function Level 1",G19,(INDEX(F:G,(MATCH(C19,F:F,0)),2)))))</f>
        <v>Product Marketing</v>
      </c>
      <c r="E19" s="21" t="str">
        <f t="shared" si="1"/>
        <v>Marketing.Product Marketing</v>
      </c>
      <c r="F19" s="18" t="s">
        <v>308</v>
      </c>
      <c r="G19" s="18" t="s">
        <v>309</v>
      </c>
      <c r="H19" s="18" t="s">
        <v>310</v>
      </c>
      <c r="I19" s="18" t="s">
        <v>141</v>
      </c>
      <c r="J19" s="21" t="str">
        <f t="shared" si="2"/>
        <v xml:space="preserve"> PB4.2-Product Marketing</v>
      </c>
      <c r="K19" s="21" t="s">
        <v>495</v>
      </c>
      <c r="L19" s="21">
        <v>1</v>
      </c>
    </row>
    <row r="20" spans="1:12" ht="45" x14ac:dyDescent="0.25">
      <c r="A20" s="18" t="s">
        <v>242</v>
      </c>
      <c r="B20" s="21" t="str">
        <f t="shared" si="0"/>
        <v>Marketing</v>
      </c>
      <c r="C20" s="18" t="s">
        <v>311</v>
      </c>
      <c r="D20" s="21" t="str">
        <f>IF(I20="OBA Domain Level 0","",(IF(I20="OBA Function Level 1",G20,(INDEX(F:G,(MATCH(C20,F:F,0)),2)))))</f>
        <v>Campaign Management</v>
      </c>
      <c r="E20" s="21" t="str">
        <f t="shared" si="1"/>
        <v>Marketing.Campaign Management</v>
      </c>
      <c r="F20" s="18" t="s">
        <v>311</v>
      </c>
      <c r="G20" s="18" t="s">
        <v>312</v>
      </c>
      <c r="H20" s="18" t="s">
        <v>313</v>
      </c>
      <c r="I20" s="18" t="s">
        <v>141</v>
      </c>
      <c r="J20" s="21" t="str">
        <f t="shared" si="2"/>
        <v xml:space="preserve"> PB4.3-Campaign Management</v>
      </c>
      <c r="K20" s="21" t="s">
        <v>496</v>
      </c>
      <c r="L20" s="21">
        <v>1</v>
      </c>
    </row>
    <row r="21" spans="1:12" ht="45" x14ac:dyDescent="0.25">
      <c r="A21" s="18" t="s">
        <v>242</v>
      </c>
      <c r="B21" s="21" t="str">
        <f t="shared" si="0"/>
        <v>Marketing</v>
      </c>
      <c r="C21" s="18" t="s">
        <v>314</v>
      </c>
      <c r="D21" s="21" t="str">
        <f>IF(I21="OBA Domain Level 0","",(IF(I21="OBA Function Level 1",G21,(INDEX(F:G,(MATCH(C21,F:F,0)),2)))))</f>
        <v>Marketing Research and Analysis</v>
      </c>
      <c r="E21" s="21" t="str">
        <f t="shared" si="1"/>
        <v>Marketing.Marketing Research and Analysis</v>
      </c>
      <c r="F21" s="18" t="s">
        <v>314</v>
      </c>
      <c r="G21" s="18" t="s">
        <v>315</v>
      </c>
      <c r="H21" s="18" t="s">
        <v>316</v>
      </c>
      <c r="I21" s="18" t="s">
        <v>141</v>
      </c>
      <c r="J21" s="21" t="str">
        <f t="shared" si="2"/>
        <v xml:space="preserve"> PB4.4-Marketing Research and Analysis</v>
      </c>
      <c r="K21" s="21" t="s">
        <v>497</v>
      </c>
      <c r="L21" s="21">
        <v>1</v>
      </c>
    </row>
    <row r="22" spans="1:12" ht="45" x14ac:dyDescent="0.25">
      <c r="A22" s="17" t="s">
        <v>244</v>
      </c>
      <c r="B22" s="20" t="str">
        <f t="shared" si="0"/>
        <v>Sales</v>
      </c>
      <c r="C22" s="17" t="str">
        <f>A22</f>
        <v>PB-05</v>
      </c>
      <c r="D22" s="20" t="str">
        <f>B22</f>
        <v>Sales</v>
      </c>
      <c r="E22" s="20" t="str">
        <f t="shared" si="1"/>
        <v>Sales</v>
      </c>
      <c r="F22" s="17" t="s">
        <v>244</v>
      </c>
      <c r="G22" s="17" t="s">
        <v>245</v>
      </c>
      <c r="H22" s="17" t="s">
        <v>246</v>
      </c>
      <c r="I22" s="17" t="s">
        <v>124</v>
      </c>
      <c r="J22" s="20" t="str">
        <f t="shared" si="2"/>
        <v>PB-05-Sales</v>
      </c>
      <c r="K22" s="20" t="s">
        <v>511</v>
      </c>
      <c r="L22" s="20">
        <v>1</v>
      </c>
    </row>
    <row r="23" spans="1:12" ht="30" x14ac:dyDescent="0.25">
      <c r="A23" s="18" t="s">
        <v>244</v>
      </c>
      <c r="B23" s="21" t="str">
        <f t="shared" si="0"/>
        <v>Sales</v>
      </c>
      <c r="C23" s="18" t="s">
        <v>317</v>
      </c>
      <c r="D23" s="21" t="str">
        <f>IF(I23="OBA Domain Level 0","",(IF(I23="OBA Function Level 1",G23,(INDEX(F:G,(MATCH(C23,F:F,0)),2)))))</f>
        <v>Lead Management</v>
      </c>
      <c r="E23" s="21" t="str">
        <f t="shared" si="1"/>
        <v>Sales.Lead Management</v>
      </c>
      <c r="F23" s="18" t="s">
        <v>317</v>
      </c>
      <c r="G23" s="18" t="s">
        <v>318</v>
      </c>
      <c r="H23" s="18" t="s">
        <v>319</v>
      </c>
      <c r="I23" s="18" t="s">
        <v>141</v>
      </c>
      <c r="J23" s="21" t="str">
        <f t="shared" si="2"/>
        <v xml:space="preserve"> PB5.1-Lead Management</v>
      </c>
      <c r="K23" s="21" t="s">
        <v>512</v>
      </c>
      <c r="L23" s="21">
        <v>1</v>
      </c>
    </row>
    <row r="24" spans="1:12" ht="30" x14ac:dyDescent="0.25">
      <c r="A24" s="18" t="s">
        <v>244</v>
      </c>
      <c r="B24" s="21" t="str">
        <f t="shared" si="0"/>
        <v>Sales</v>
      </c>
      <c r="C24" s="18" t="s">
        <v>320</v>
      </c>
      <c r="D24" s="21" t="str">
        <f>IF(I24="OBA Domain Level 0","",(IF(I24="OBA Function Level 1",G24,(INDEX(F:G,(MATCH(C24,F:F,0)),2)))))</f>
        <v>Opportunity Management</v>
      </c>
      <c r="E24" s="21" t="str">
        <f t="shared" si="1"/>
        <v>Sales.Opportunity Management</v>
      </c>
      <c r="F24" s="18" t="s">
        <v>320</v>
      </c>
      <c r="G24" s="18" t="s">
        <v>321</v>
      </c>
      <c r="H24" s="18" t="s">
        <v>322</v>
      </c>
      <c r="I24" s="18" t="s">
        <v>141</v>
      </c>
      <c r="J24" s="21" t="str">
        <f t="shared" si="2"/>
        <v xml:space="preserve"> PB5.2-Opportunity Management</v>
      </c>
      <c r="K24" s="21" t="s">
        <v>513</v>
      </c>
      <c r="L24" s="21">
        <v>1</v>
      </c>
    </row>
    <row r="25" spans="1:12" ht="30" x14ac:dyDescent="0.25">
      <c r="A25" s="18" t="s">
        <v>244</v>
      </c>
      <c r="B25" s="21" t="str">
        <f t="shared" si="0"/>
        <v>Sales</v>
      </c>
      <c r="C25" s="18" t="str">
        <f>F25</f>
        <v>PB5.3</v>
      </c>
      <c r="D25" s="21" t="str">
        <f>IF(I25="OBA Domain Level 0","",(IF(I25="OBA Function Level 1",G25,(INDEX(F:G,(MATCH(C25,F:F,0)),2)))))</f>
        <v>Proposal and Quoting</v>
      </c>
      <c r="E25" s="21" t="str">
        <f t="shared" si="1"/>
        <v>Sales.Proposal and Quoting</v>
      </c>
      <c r="F25" s="18" t="s">
        <v>323</v>
      </c>
      <c r="G25" s="18" t="s">
        <v>324</v>
      </c>
      <c r="H25" s="18" t="s">
        <v>325</v>
      </c>
      <c r="I25" s="18" t="s">
        <v>141</v>
      </c>
      <c r="J25" s="21" t="str">
        <f t="shared" si="2"/>
        <v xml:space="preserve"> PB5.3-Proposal and Quoting</v>
      </c>
      <c r="K25" s="21" t="s">
        <v>514</v>
      </c>
      <c r="L25" s="21">
        <v>1</v>
      </c>
    </row>
    <row r="26" spans="1:12" ht="30" x14ac:dyDescent="0.25">
      <c r="A26" s="18" t="s">
        <v>244</v>
      </c>
      <c r="B26" s="21" t="str">
        <f t="shared" si="0"/>
        <v>Sales</v>
      </c>
      <c r="C26" s="18" t="str">
        <f>F26</f>
        <v>PB5.4</v>
      </c>
      <c r="D26" s="21" t="str">
        <f>IF(I26="OBA Domain Level 0","",(IF(I26="OBA Function Level 1",G26,(INDEX(F:G,(MATCH(C26,F:F,0)),2)))))</f>
        <v>Account Management</v>
      </c>
      <c r="E26" s="21" t="str">
        <f t="shared" si="1"/>
        <v>Sales.Account Management</v>
      </c>
      <c r="F26" s="18" t="s">
        <v>326</v>
      </c>
      <c r="G26" s="18" t="s">
        <v>327</v>
      </c>
      <c r="H26" s="18" t="s">
        <v>328</v>
      </c>
      <c r="I26" s="18" t="s">
        <v>141</v>
      </c>
      <c r="J26" s="21" t="str">
        <f t="shared" si="2"/>
        <v xml:space="preserve"> PB5.4-Account Management</v>
      </c>
      <c r="K26" s="21" t="s">
        <v>515</v>
      </c>
      <c r="L26" s="21">
        <v>1</v>
      </c>
    </row>
    <row r="27" spans="1:12" ht="30" x14ac:dyDescent="0.25">
      <c r="A27" s="18" t="s">
        <v>244</v>
      </c>
      <c r="B27" s="21" t="str">
        <f t="shared" si="0"/>
        <v>Sales</v>
      </c>
      <c r="C27" s="18" t="str">
        <f>F27</f>
        <v>PB5.5</v>
      </c>
      <c r="D27" s="21" t="str">
        <f>IF(I27="OBA Domain Level 0","",(IF(I27="OBA Function Level 1",G27,(INDEX(F:G,(MATCH(C27,F:F,0)),2)))))</f>
        <v>Sales Channel Management</v>
      </c>
      <c r="E27" s="21" t="str">
        <f t="shared" si="1"/>
        <v>Sales.Sales Channel Management</v>
      </c>
      <c r="F27" s="18" t="s">
        <v>329</v>
      </c>
      <c r="G27" s="18" t="s">
        <v>330</v>
      </c>
      <c r="H27" s="18" t="s">
        <v>331</v>
      </c>
      <c r="I27" s="18" t="s">
        <v>141</v>
      </c>
      <c r="J27" s="21" t="str">
        <f t="shared" si="2"/>
        <v xml:space="preserve"> PB5.5-Sales Channel Management</v>
      </c>
      <c r="K27" s="21" t="s">
        <v>516</v>
      </c>
      <c r="L27" s="21">
        <v>1</v>
      </c>
    </row>
    <row r="28" spans="1:12" ht="45" x14ac:dyDescent="0.25">
      <c r="A28" s="17" t="s">
        <v>247</v>
      </c>
      <c r="B28" s="20" t="str">
        <f t="shared" si="0"/>
        <v>Care Management</v>
      </c>
      <c r="C28" s="17" t="str">
        <f>A28</f>
        <v>PB-06</v>
      </c>
      <c r="D28" s="20" t="str">
        <f>B28</f>
        <v>Care Management</v>
      </c>
      <c r="E28" s="20" t="str">
        <f t="shared" si="1"/>
        <v>Care Management</v>
      </c>
      <c r="F28" s="17" t="s">
        <v>247</v>
      </c>
      <c r="G28" s="17" t="s">
        <v>89</v>
      </c>
      <c r="H28" s="17" t="s">
        <v>248</v>
      </c>
      <c r="I28" s="17" t="s">
        <v>124</v>
      </c>
      <c r="J28" s="20" t="str">
        <f t="shared" si="2"/>
        <v>PB-06-Care Management</v>
      </c>
      <c r="K28" s="20" t="s">
        <v>459</v>
      </c>
      <c r="L28" s="20">
        <v>1</v>
      </c>
    </row>
    <row r="29" spans="1:12" ht="30" x14ac:dyDescent="0.25">
      <c r="A29" s="18" t="s">
        <v>247</v>
      </c>
      <c r="B29" s="21" t="str">
        <f t="shared" si="0"/>
        <v>Care Management</v>
      </c>
      <c r="C29" s="18" t="str">
        <f>F29</f>
        <v>PB6.1</v>
      </c>
      <c r="D29" s="21" t="str">
        <f>IF(I29="OBA Domain Level 0","",(IF(I29="OBA Function Level 1",G29,(INDEX(F:G,(MATCH(C29,F:F,0)),2)))))</f>
        <v>Health Program Management</v>
      </c>
      <c r="E29" s="21" t="str">
        <f t="shared" si="1"/>
        <v>Care Management.Health Program Management</v>
      </c>
      <c r="F29" s="18" t="s">
        <v>332</v>
      </c>
      <c r="G29" s="18" t="s">
        <v>333</v>
      </c>
      <c r="H29" s="18" t="s">
        <v>334</v>
      </c>
      <c r="I29" s="18" t="s">
        <v>141</v>
      </c>
      <c r="J29" s="21" t="str">
        <f t="shared" si="2"/>
        <v xml:space="preserve"> PB6.1-Health Program Management</v>
      </c>
      <c r="K29" s="21" t="s">
        <v>460</v>
      </c>
      <c r="L29" s="21">
        <v>1</v>
      </c>
    </row>
    <row r="30" spans="1:12" ht="30" x14ac:dyDescent="0.25">
      <c r="A30" s="18" t="s">
        <v>247</v>
      </c>
      <c r="B30" s="21" t="str">
        <f t="shared" si="0"/>
        <v>Care Management</v>
      </c>
      <c r="C30" s="18" t="str">
        <f>F30</f>
        <v>PB6.2</v>
      </c>
      <c r="D30" s="21" t="str">
        <f>IF(I30="OBA Domain Level 0","",(IF(I30="OBA Function Level 1",G30,(INDEX(F:G,(MATCH(C30,F:F,0)),2)))))</f>
        <v>Utilization Management</v>
      </c>
      <c r="E30" s="21" t="str">
        <f t="shared" si="1"/>
        <v>Care Management.Utilization Management</v>
      </c>
      <c r="F30" s="18" t="s">
        <v>335</v>
      </c>
      <c r="G30" s="18" t="s">
        <v>336</v>
      </c>
      <c r="H30" s="18" t="s">
        <v>337</v>
      </c>
      <c r="I30" s="18" t="s">
        <v>141</v>
      </c>
      <c r="J30" s="21" t="str">
        <f t="shared" si="2"/>
        <v xml:space="preserve"> PB6.2-Utilization Management</v>
      </c>
      <c r="K30" s="21" t="s">
        <v>461</v>
      </c>
      <c r="L30" s="21">
        <v>1</v>
      </c>
    </row>
    <row r="31" spans="1:12" ht="30" x14ac:dyDescent="0.25">
      <c r="A31" s="18" t="s">
        <v>247</v>
      </c>
      <c r="B31" s="21" t="str">
        <f t="shared" si="0"/>
        <v>Care Management</v>
      </c>
      <c r="C31" s="18" t="str">
        <f>F31</f>
        <v>PB6.3</v>
      </c>
      <c r="D31" s="21" t="str">
        <f>IF(I31="OBA Domain Level 0","",(IF(I31="OBA Function Level 1",G31,(INDEX(F:G,(MATCH(C31,F:F,0)),2)))))</f>
        <v>Health and Wellness</v>
      </c>
      <c r="E31" s="21" t="str">
        <f t="shared" si="1"/>
        <v>Care Management.Health and Wellness</v>
      </c>
      <c r="F31" s="18" t="s">
        <v>338</v>
      </c>
      <c r="G31" s="18" t="s">
        <v>339</v>
      </c>
      <c r="H31" s="18" t="s">
        <v>340</v>
      </c>
      <c r="I31" s="18" t="s">
        <v>141</v>
      </c>
      <c r="J31" s="21" t="str">
        <f t="shared" si="2"/>
        <v xml:space="preserve"> PB6.3-Health and Wellness</v>
      </c>
      <c r="K31" s="21" t="s">
        <v>462</v>
      </c>
      <c r="L31" s="21">
        <v>1</v>
      </c>
    </row>
    <row r="32" spans="1:12" ht="30" x14ac:dyDescent="0.25">
      <c r="A32" s="17" t="s">
        <v>249</v>
      </c>
      <c r="B32" s="20" t="str">
        <f t="shared" si="0"/>
        <v>Claims Management</v>
      </c>
      <c r="C32" s="17" t="str">
        <f>A32</f>
        <v>PB-07</v>
      </c>
      <c r="D32" s="20" t="str">
        <f>B32</f>
        <v>Claims Management</v>
      </c>
      <c r="E32" s="20" t="str">
        <f t="shared" si="1"/>
        <v>Claims Management</v>
      </c>
      <c r="F32" s="17" t="s">
        <v>249</v>
      </c>
      <c r="G32" s="17" t="s">
        <v>250</v>
      </c>
      <c r="H32" s="17" t="s">
        <v>251</v>
      </c>
      <c r="I32" s="17" t="s">
        <v>124</v>
      </c>
      <c r="J32" s="20" t="str">
        <f t="shared" si="2"/>
        <v>PB-07-Claims Management</v>
      </c>
      <c r="K32" s="20" t="s">
        <v>463</v>
      </c>
      <c r="L32" s="20">
        <v>1</v>
      </c>
    </row>
    <row r="33" spans="1:12" ht="30" x14ac:dyDescent="0.25">
      <c r="A33" s="18" t="s">
        <v>249</v>
      </c>
      <c r="B33" s="21" t="str">
        <f t="shared" si="0"/>
        <v>Claims Management</v>
      </c>
      <c r="C33" s="18" t="str">
        <f>F33</f>
        <v>PB7.1</v>
      </c>
      <c r="D33" s="21" t="str">
        <f>IF(I33="OBA Domain Level 0","",(IF(I33="OBA Function Level 1",G33,(INDEX(F:G,(MATCH(C33,F:F,0)),2)))))</f>
        <v>Claim Acquisition</v>
      </c>
      <c r="E33" s="21" t="str">
        <f t="shared" si="1"/>
        <v>Claims Management.Claim Acquisition</v>
      </c>
      <c r="F33" s="18" t="s">
        <v>341</v>
      </c>
      <c r="G33" s="18" t="s">
        <v>342</v>
      </c>
      <c r="H33" s="18" t="s">
        <v>343</v>
      </c>
      <c r="I33" s="18" t="s">
        <v>141</v>
      </c>
      <c r="J33" s="21" t="str">
        <f t="shared" si="2"/>
        <v xml:space="preserve"> PB7.1-Claim Acquisition</v>
      </c>
      <c r="K33" s="21" t="s">
        <v>464</v>
      </c>
      <c r="L33" s="21">
        <v>1</v>
      </c>
    </row>
    <row r="34" spans="1:12" ht="60" x14ac:dyDescent="0.25">
      <c r="A34" s="18" t="s">
        <v>249</v>
      </c>
      <c r="B34" s="21" t="str">
        <f t="shared" ref="B34:B65" si="3">IF((ISBLANK(A34)),G34,(INDEX($F:$G,(MATCH(A34,F:F,0)),2)))</f>
        <v>Claims Management</v>
      </c>
      <c r="C34" s="18" t="str">
        <f>F34</f>
        <v>PB7.2</v>
      </c>
      <c r="D34" s="21" t="str">
        <f>IF(I34="OBA Domain Level 0","",(IF(I34="OBA Function Level 1",G34,(INDEX(F:G,(MATCH(C34,F:F,0)),2)))))</f>
        <v>Claims Validation</v>
      </c>
      <c r="E34" s="21" t="str">
        <f t="shared" ref="E34:E65" si="4">IF(I34="OBA Domain Level 0",B34,(IF(I34="OBA Function Level 1",(CONCATENATE(B34,".",D34)),(CONCATENATE(B34,".",D34,".",G34)))))</f>
        <v>Claims Management.Claims Validation</v>
      </c>
      <c r="F34" s="18" t="s">
        <v>344</v>
      </c>
      <c r="G34" s="18" t="s">
        <v>345</v>
      </c>
      <c r="H34" s="18" t="s">
        <v>346</v>
      </c>
      <c r="I34" s="18" t="s">
        <v>141</v>
      </c>
      <c r="J34" s="21" t="str">
        <f t="shared" ref="J34:J65" si="5">IF(I34="OBA Domain Level 0",(CONCATENATE(C34,"-",D34)),(IF(I34="OBA Function Level 1",(CONCATENATE(" ", C34,"-",D34)),(CONCATENATE(" ", C34,"-",G34)))))</f>
        <v xml:space="preserve"> PB7.2-Claims Validation</v>
      </c>
      <c r="K34" s="21" t="s">
        <v>465</v>
      </c>
      <c r="L34" s="21">
        <v>1</v>
      </c>
    </row>
    <row r="35" spans="1:12" ht="60" x14ac:dyDescent="0.25">
      <c r="A35" s="18" t="s">
        <v>249</v>
      </c>
      <c r="B35" s="21" t="str">
        <f t="shared" si="3"/>
        <v>Claims Management</v>
      </c>
      <c r="C35" s="18" t="str">
        <f>F35</f>
        <v>PB7.3</v>
      </c>
      <c r="D35" s="21" t="str">
        <f>IF(I35="OBA Domain Level 0","",(IF(I35="OBA Function Level 1",G35,(INDEX(F:G,(MATCH(C35,F:F,0)),2)))))</f>
        <v>Claim Adjudication</v>
      </c>
      <c r="E35" s="21" t="str">
        <f t="shared" si="4"/>
        <v>Claims Management.Claim Adjudication</v>
      </c>
      <c r="F35" s="18" t="s">
        <v>347</v>
      </c>
      <c r="G35" s="18" t="s">
        <v>348</v>
      </c>
      <c r="H35" s="18" t="s">
        <v>349</v>
      </c>
      <c r="I35" s="18" t="s">
        <v>141</v>
      </c>
      <c r="J35" s="21" t="str">
        <f t="shared" si="5"/>
        <v xml:space="preserve"> PB7.3-Claim Adjudication</v>
      </c>
      <c r="K35" s="21" t="s">
        <v>466</v>
      </c>
      <c r="L35" s="21">
        <v>1</v>
      </c>
    </row>
    <row r="36" spans="1:12" ht="60" x14ac:dyDescent="0.25">
      <c r="A36" s="18" t="s">
        <v>249</v>
      </c>
      <c r="B36" s="21" t="str">
        <f t="shared" si="3"/>
        <v>Claims Management</v>
      </c>
      <c r="C36" s="18" t="str">
        <f>F36</f>
        <v>PB7.4</v>
      </c>
      <c r="D36" s="21" t="str">
        <f>IF(I36="OBA Domain Level 0","",(IF(I36="OBA Function Level 1",G36,(INDEX(F:G,(MATCH(C36,F:F,0)),2)))))</f>
        <v>Claim Settlement</v>
      </c>
      <c r="E36" s="21" t="str">
        <f t="shared" si="4"/>
        <v>Claims Management.Claim Settlement</v>
      </c>
      <c r="F36" s="18" t="s">
        <v>350</v>
      </c>
      <c r="G36" s="18" t="s">
        <v>351</v>
      </c>
      <c r="H36" s="18" t="s">
        <v>352</v>
      </c>
      <c r="I36" s="18" t="s">
        <v>141</v>
      </c>
      <c r="J36" s="21" t="str">
        <f t="shared" si="5"/>
        <v xml:space="preserve"> PB7.4-Claim Settlement</v>
      </c>
      <c r="K36" s="21" t="s">
        <v>467</v>
      </c>
      <c r="L36" s="21">
        <v>1</v>
      </c>
    </row>
    <row r="37" spans="1:12" ht="30" x14ac:dyDescent="0.25">
      <c r="A37" s="18" t="s">
        <v>249</v>
      </c>
      <c r="B37" s="21" t="str">
        <f t="shared" si="3"/>
        <v>Claims Management</v>
      </c>
      <c r="C37" s="18" t="str">
        <f>F37</f>
        <v>PB7.5</v>
      </c>
      <c r="D37" s="21" t="str">
        <f>IF(I37="OBA Domain Level 0","",(IF(I37="OBA Function Level 1",G37,(INDEX(F:G,(MATCH(C37,F:F,0)),2)))))</f>
        <v>Claim Services</v>
      </c>
      <c r="E37" s="21" t="str">
        <f t="shared" si="4"/>
        <v>Claims Management.Claim Services</v>
      </c>
      <c r="F37" s="18" t="s">
        <v>353</v>
      </c>
      <c r="G37" s="18" t="s">
        <v>354</v>
      </c>
      <c r="H37" s="18" t="s">
        <v>355</v>
      </c>
      <c r="I37" s="18" t="s">
        <v>141</v>
      </c>
      <c r="J37" s="21" t="str">
        <f t="shared" si="5"/>
        <v xml:space="preserve"> PB7.5-Claim Services</v>
      </c>
      <c r="K37" s="21" t="s">
        <v>468</v>
      </c>
      <c r="L37" s="21">
        <v>1</v>
      </c>
    </row>
    <row r="38" spans="1:12" ht="30" x14ac:dyDescent="0.25">
      <c r="A38" s="17" t="s">
        <v>252</v>
      </c>
      <c r="B38" s="20" t="str">
        <f t="shared" si="3"/>
        <v>Member and Employer Servicing</v>
      </c>
      <c r="C38" s="17" t="str">
        <f>A38</f>
        <v>PB-08</v>
      </c>
      <c r="D38" s="20" t="str">
        <f>B38</f>
        <v>Member and Employer Servicing</v>
      </c>
      <c r="E38" s="20" t="str">
        <f t="shared" si="4"/>
        <v>Member and Employer Servicing</v>
      </c>
      <c r="F38" s="17" t="s">
        <v>252</v>
      </c>
      <c r="G38" s="17" t="s">
        <v>253</v>
      </c>
      <c r="H38" s="17" t="s">
        <v>254</v>
      </c>
      <c r="I38" s="17" t="s">
        <v>124</v>
      </c>
      <c r="J38" s="20" t="str">
        <f t="shared" si="5"/>
        <v>PB-08-Member and Employer Servicing</v>
      </c>
      <c r="K38" s="20" t="s">
        <v>498</v>
      </c>
      <c r="L38" s="20">
        <v>1</v>
      </c>
    </row>
    <row r="39" spans="1:12" ht="30" x14ac:dyDescent="0.25">
      <c r="A39" s="18" t="s">
        <v>252</v>
      </c>
      <c r="B39" s="21" t="str">
        <f t="shared" si="3"/>
        <v>Member and Employer Servicing</v>
      </c>
      <c r="C39" s="18" t="str">
        <f>F39</f>
        <v>PB8.1</v>
      </c>
      <c r="D39" s="21" t="str">
        <f>IF(I39="OBA Domain Level 0","",(IF(I39="OBA Function Level 1",G39,(INDEX(F:G,(MATCH(C39,F:F,0)),2)))))</f>
        <v>Enrollment</v>
      </c>
      <c r="E39" s="21" t="str">
        <f t="shared" si="4"/>
        <v>Member and Employer Servicing.Enrollment</v>
      </c>
      <c r="F39" s="18" t="s">
        <v>356</v>
      </c>
      <c r="G39" s="18" t="s">
        <v>357</v>
      </c>
      <c r="H39" s="18" t="s">
        <v>358</v>
      </c>
      <c r="I39" s="18" t="s">
        <v>141</v>
      </c>
      <c r="J39" s="21" t="str">
        <f t="shared" si="5"/>
        <v xml:space="preserve"> PB8.1-Enrollment</v>
      </c>
      <c r="K39" s="21" t="s">
        <v>499</v>
      </c>
      <c r="L39" s="21">
        <v>1</v>
      </c>
    </row>
    <row r="40" spans="1:12" ht="30" x14ac:dyDescent="0.25">
      <c r="A40" s="18" t="s">
        <v>252</v>
      </c>
      <c r="B40" s="21" t="str">
        <f t="shared" si="3"/>
        <v>Member and Employer Servicing</v>
      </c>
      <c r="C40" s="18" t="str">
        <f>F40</f>
        <v>PB8.2</v>
      </c>
      <c r="D40" s="21" t="str">
        <f>IF(I40="OBA Domain Level 0","",(IF(I40="OBA Function Level 1",G40,(INDEX(F:G,(MATCH(C40,F:F,0)),2)))))</f>
        <v>Billing</v>
      </c>
      <c r="E40" s="21" t="str">
        <f t="shared" si="4"/>
        <v>Member and Employer Servicing.Billing</v>
      </c>
      <c r="F40" s="18" t="s">
        <v>359</v>
      </c>
      <c r="G40" s="18" t="s">
        <v>360</v>
      </c>
      <c r="H40" s="18" t="s">
        <v>361</v>
      </c>
      <c r="I40" s="18" t="s">
        <v>141</v>
      </c>
      <c r="J40" s="21" t="str">
        <f t="shared" si="5"/>
        <v xml:space="preserve"> PB8.2-Billing</v>
      </c>
      <c r="K40" s="21" t="s">
        <v>500</v>
      </c>
      <c r="L40" s="21">
        <v>1</v>
      </c>
    </row>
    <row r="41" spans="1:12" ht="60" x14ac:dyDescent="0.25">
      <c r="A41" s="17" t="s">
        <v>255</v>
      </c>
      <c r="B41" s="20" t="str">
        <f t="shared" si="3"/>
        <v>Constituent Service Management</v>
      </c>
      <c r="C41" s="17" t="str">
        <f>A41</f>
        <v>PB-09</v>
      </c>
      <c r="D41" s="20" t="str">
        <f>B41</f>
        <v>Constituent Service Management</v>
      </c>
      <c r="E41" s="20" t="str">
        <f t="shared" si="4"/>
        <v>Constituent Service Management</v>
      </c>
      <c r="F41" s="17" t="s">
        <v>255</v>
      </c>
      <c r="G41" s="17" t="s">
        <v>448</v>
      </c>
      <c r="H41" s="17" t="s">
        <v>256</v>
      </c>
      <c r="I41" s="17" t="s">
        <v>124</v>
      </c>
      <c r="J41" s="20" t="str">
        <f t="shared" si="5"/>
        <v>PB-09-Constituent Service Management</v>
      </c>
      <c r="K41" s="20" t="s">
        <v>469</v>
      </c>
      <c r="L41" s="20">
        <v>1</v>
      </c>
    </row>
    <row r="42" spans="1:12" ht="45" x14ac:dyDescent="0.25">
      <c r="A42" s="18" t="s">
        <v>255</v>
      </c>
      <c r="B42" s="21" t="str">
        <f t="shared" si="3"/>
        <v>Constituent Service Management</v>
      </c>
      <c r="C42" s="18" t="str">
        <f>F42</f>
        <v>PB9.1</v>
      </c>
      <c r="D42" s="21" t="str">
        <f>IF(I42="OBA Domain Level 0","",(IF(I42="OBA Function Level 1",G42,(INDEX(F:G,(MATCH(C42,F:F,0)),2)))))</f>
        <v>Service Request Resolution</v>
      </c>
      <c r="E42" s="21" t="str">
        <f t="shared" si="4"/>
        <v>Constituent Service Management.Service Request Resolution</v>
      </c>
      <c r="F42" s="18" t="s">
        <v>362</v>
      </c>
      <c r="G42" s="18" t="s">
        <v>363</v>
      </c>
      <c r="H42" s="18" t="s">
        <v>364</v>
      </c>
      <c r="I42" s="18" t="s">
        <v>141</v>
      </c>
      <c r="J42" s="21" t="str">
        <f t="shared" si="5"/>
        <v xml:space="preserve"> PB9.1-Service Request Resolution</v>
      </c>
      <c r="K42" s="21" t="s">
        <v>471</v>
      </c>
      <c r="L42" s="21">
        <v>1</v>
      </c>
    </row>
    <row r="43" spans="1:12" ht="30" x14ac:dyDescent="0.25">
      <c r="A43" s="18" t="s">
        <v>255</v>
      </c>
      <c r="B43" s="21" t="str">
        <f t="shared" si="3"/>
        <v>Constituent Service Management</v>
      </c>
      <c r="C43" s="18" t="str">
        <f>F43</f>
        <v>PB9.2</v>
      </c>
      <c r="D43" s="21" t="str">
        <f>IF(I43="OBA Domain Level 0","",(IF(I43="OBA Function Level 1",G43,(INDEX(F:G,(MATCH(C43,F:F,0)),2)))))</f>
        <v>Service Management</v>
      </c>
      <c r="E43" s="21" t="str">
        <f t="shared" si="4"/>
        <v>Constituent Service Management.Service Management</v>
      </c>
      <c r="F43" s="18" t="s">
        <v>365</v>
      </c>
      <c r="G43" s="18" t="s">
        <v>366</v>
      </c>
      <c r="H43" s="18" t="s">
        <v>367</v>
      </c>
      <c r="I43" s="18" t="s">
        <v>141</v>
      </c>
      <c r="J43" s="21" t="str">
        <f t="shared" si="5"/>
        <v xml:space="preserve"> PB9.2-Service Management</v>
      </c>
      <c r="K43" s="21" t="s">
        <v>472</v>
      </c>
      <c r="L43" s="21">
        <v>1</v>
      </c>
    </row>
    <row r="44" spans="1:12" ht="45" x14ac:dyDescent="0.25">
      <c r="A44" s="18" t="s">
        <v>255</v>
      </c>
      <c r="B44" s="21" t="str">
        <f t="shared" si="3"/>
        <v>Constituent Service Management</v>
      </c>
      <c r="C44" s="18" t="str">
        <f>F44</f>
        <v>PB9.3</v>
      </c>
      <c r="D44" s="21" t="str">
        <f>IF(I44="OBA Domain Level 0","",(IF(I44="OBA Function Level 1",G44,(INDEX(F:G,(MATCH(C44,F:F,0)),2)))))</f>
        <v>Contact Center 9.3</v>
      </c>
      <c r="E44" s="21" t="str">
        <f t="shared" si="4"/>
        <v>Constituent Service Management.Contact Center 9.3</v>
      </c>
      <c r="F44" s="18" t="s">
        <v>368</v>
      </c>
      <c r="G44" s="18" t="s">
        <v>369</v>
      </c>
      <c r="H44" s="18" t="s">
        <v>370</v>
      </c>
      <c r="I44" s="18" t="s">
        <v>141</v>
      </c>
      <c r="J44" s="21" t="str">
        <f t="shared" si="5"/>
        <v xml:space="preserve"> PB9.3-Contact Center 9.3</v>
      </c>
      <c r="K44" s="21" t="s">
        <v>473</v>
      </c>
      <c r="L44" s="21">
        <v>1</v>
      </c>
    </row>
    <row r="45" spans="1:12" ht="45" x14ac:dyDescent="0.25">
      <c r="A45" s="18" t="s">
        <v>255</v>
      </c>
      <c r="B45" s="21" t="str">
        <f t="shared" si="3"/>
        <v>Constituent Service Management</v>
      </c>
      <c r="C45" s="18" t="str">
        <f>F45</f>
        <v>PB9.4</v>
      </c>
      <c r="D45" s="21" t="str">
        <f>IF(I45="OBA Domain Level 0","",(IF(I45="OBA Function Level 1",G45,(INDEX(F:G,(MATCH(C45,F:F,0)),2)))))</f>
        <v>Workforce Optimization</v>
      </c>
      <c r="E45" s="21" t="str">
        <f t="shared" si="4"/>
        <v>Constituent Service Management.Workforce Optimization</v>
      </c>
      <c r="F45" s="18" t="s">
        <v>371</v>
      </c>
      <c r="G45" s="18" t="s">
        <v>372</v>
      </c>
      <c r="H45" s="18" t="s">
        <v>373</v>
      </c>
      <c r="I45" s="18" t="s">
        <v>141</v>
      </c>
      <c r="J45" s="21" t="str">
        <f t="shared" si="5"/>
        <v xml:space="preserve"> PB9.4-Workforce Optimization</v>
      </c>
      <c r="K45" s="21" t="s">
        <v>470</v>
      </c>
      <c r="L45" s="21">
        <v>1</v>
      </c>
    </row>
    <row r="46" spans="1:12" ht="45" x14ac:dyDescent="0.25">
      <c r="A46" s="17" t="s">
        <v>269</v>
      </c>
      <c r="B46" s="20" t="str">
        <f t="shared" si="3"/>
        <v>Care Delivery and Coordination</v>
      </c>
      <c r="C46" s="17" t="str">
        <f>A46</f>
        <v>PB10</v>
      </c>
      <c r="D46" s="20" t="str">
        <f>B46</f>
        <v>Care Delivery and Coordination</v>
      </c>
      <c r="E46" s="20" t="str">
        <f t="shared" si="4"/>
        <v>Care Delivery and Coordination</v>
      </c>
      <c r="F46" s="17" t="s">
        <v>269</v>
      </c>
      <c r="G46" s="17" t="s">
        <v>270</v>
      </c>
      <c r="H46" s="17" t="s">
        <v>271</v>
      </c>
      <c r="I46" s="17" t="s">
        <v>124</v>
      </c>
      <c r="J46" s="20" t="str">
        <f t="shared" si="5"/>
        <v>PB10-Care Delivery and Coordination</v>
      </c>
      <c r="K46" s="20" t="s">
        <v>458</v>
      </c>
      <c r="L46" s="20">
        <v>1</v>
      </c>
    </row>
    <row r="47" spans="1:12" ht="30" x14ac:dyDescent="0.25">
      <c r="A47" s="18" t="s">
        <v>269</v>
      </c>
      <c r="B47" s="21" t="str">
        <f t="shared" si="3"/>
        <v>Care Delivery and Coordination</v>
      </c>
      <c r="C47" s="18" t="s">
        <v>272</v>
      </c>
      <c r="D47" s="21" t="str">
        <f>IF(I47="OBA Domain Level 0","",(IF(I47="OBA Function Level 1",G47,(INDEX(F:G,(MATCH(C47,F:F,0)),2)))))</f>
        <v>Provider Clinical Workflow</v>
      </c>
      <c r="E47" s="21" t="str">
        <f t="shared" si="4"/>
        <v>Care Delivery and Coordination.Provider Clinical Workflow</v>
      </c>
      <c r="F47" s="18" t="s">
        <v>272</v>
      </c>
      <c r="G47" s="18" t="s">
        <v>273</v>
      </c>
      <c r="H47" s="18" t="s">
        <v>274</v>
      </c>
      <c r="I47" s="18" t="s">
        <v>141</v>
      </c>
      <c r="J47" s="21" t="str">
        <f t="shared" si="5"/>
        <v xml:space="preserve"> PB10.1-Provider Clinical Workflow</v>
      </c>
      <c r="K47" s="21"/>
      <c r="L47" s="21">
        <v>1</v>
      </c>
    </row>
    <row r="48" spans="1:12" ht="30" x14ac:dyDescent="0.25">
      <c r="A48" s="18" t="s">
        <v>269</v>
      </c>
      <c r="B48" s="21" t="str">
        <f t="shared" si="3"/>
        <v>Care Delivery and Coordination</v>
      </c>
      <c r="C48" s="18" t="s">
        <v>275</v>
      </c>
      <c r="D48" s="21" t="str">
        <f>IF(I48="OBA Domain Level 0","",(IF(I48="OBA Function Level 1",G48,(INDEX(F:G,(MATCH(C48,F:F,0)),2)))))</f>
        <v>Provider Clinical Care</v>
      </c>
      <c r="E48" s="21" t="str">
        <f t="shared" si="4"/>
        <v>Care Delivery and Coordination.Provider Clinical Care</v>
      </c>
      <c r="F48" s="18" t="s">
        <v>275</v>
      </c>
      <c r="G48" s="18" t="s">
        <v>276</v>
      </c>
      <c r="H48" s="18" t="s">
        <v>277</v>
      </c>
      <c r="I48" s="18" t="s">
        <v>141</v>
      </c>
      <c r="J48" s="21" t="str">
        <f t="shared" si="5"/>
        <v xml:space="preserve"> PB10.2-Provider Clinical Care</v>
      </c>
      <c r="K48" s="21"/>
      <c r="L48" s="21">
        <v>1</v>
      </c>
    </row>
    <row r="49" spans="1:12" ht="30" x14ac:dyDescent="0.25">
      <c r="A49" s="18" t="s">
        <v>269</v>
      </c>
      <c r="B49" s="21" t="str">
        <f t="shared" si="3"/>
        <v>Care Delivery and Coordination</v>
      </c>
      <c r="C49" s="18" t="s">
        <v>278</v>
      </c>
      <c r="D49" s="21" t="str">
        <f>IF(I49="OBA Domain Level 0","",(IF(I49="OBA Function Level 1",G49,(INDEX(F:G,(MATCH(C49,F:F,0)),2)))))</f>
        <v>Provider Care Coordination</v>
      </c>
      <c r="E49" s="21" t="str">
        <f t="shared" si="4"/>
        <v>Care Delivery and Coordination.Provider Care Coordination</v>
      </c>
      <c r="F49" s="18" t="s">
        <v>278</v>
      </c>
      <c r="G49" s="18" t="s">
        <v>279</v>
      </c>
      <c r="H49" s="18" t="s">
        <v>280</v>
      </c>
      <c r="I49" s="18" t="s">
        <v>141</v>
      </c>
      <c r="J49" s="21" t="str">
        <f t="shared" si="5"/>
        <v xml:space="preserve"> PB10.3-Provider Care Coordination</v>
      </c>
      <c r="K49" s="21"/>
      <c r="L49" s="21">
        <v>1</v>
      </c>
    </row>
    <row r="50" spans="1:12" ht="60" x14ac:dyDescent="0.25">
      <c r="A50" s="17" t="s">
        <v>121</v>
      </c>
      <c r="B50" s="20" t="str">
        <f t="shared" si="3"/>
        <v>Finance</v>
      </c>
      <c r="C50" s="17" t="str">
        <f>A50</f>
        <v>CO-01</v>
      </c>
      <c r="D50" s="20" t="str">
        <f>B50</f>
        <v>Finance</v>
      </c>
      <c r="E50" s="20" t="str">
        <f t="shared" si="4"/>
        <v>Finance</v>
      </c>
      <c r="F50" s="17" t="s">
        <v>121</v>
      </c>
      <c r="G50" s="17" t="s">
        <v>122</v>
      </c>
      <c r="H50" s="17" t="s">
        <v>123</v>
      </c>
      <c r="I50" s="17" t="s">
        <v>124</v>
      </c>
      <c r="J50" s="20" t="str">
        <f t="shared" si="5"/>
        <v>CO-01-Finance</v>
      </c>
      <c r="K50" s="20" t="s">
        <v>474</v>
      </c>
      <c r="L50" s="20">
        <v>2</v>
      </c>
    </row>
    <row r="51" spans="1:12" ht="60" x14ac:dyDescent="0.25">
      <c r="A51" s="18" t="s">
        <v>121</v>
      </c>
      <c r="B51" s="21" t="str">
        <f t="shared" si="3"/>
        <v>Finance</v>
      </c>
      <c r="C51" s="18" t="s">
        <v>138</v>
      </c>
      <c r="D51" s="21" t="str">
        <f>IF(I51="OBA Domain Level 0","",(IF(I51="OBA Function Level 1",G51,(INDEX(F:G,(MATCH(C51,F:F,0)),2)))))</f>
        <v>Financial Management</v>
      </c>
      <c r="E51" s="21" t="str">
        <f t="shared" si="4"/>
        <v>Finance.Financial Management</v>
      </c>
      <c r="F51" s="18" t="s">
        <v>138</v>
      </c>
      <c r="G51" s="18" t="s">
        <v>139</v>
      </c>
      <c r="H51" s="18" t="s">
        <v>140</v>
      </c>
      <c r="I51" s="18" t="s">
        <v>141</v>
      </c>
      <c r="J51" s="21" t="str">
        <f t="shared" si="5"/>
        <v xml:space="preserve"> CO1.1-Financial Management</v>
      </c>
      <c r="K51" s="21" t="s">
        <v>475</v>
      </c>
      <c r="L51" s="21">
        <v>2</v>
      </c>
    </row>
    <row r="52" spans="1:12" ht="60" x14ac:dyDescent="0.25">
      <c r="A52" s="18" t="s">
        <v>121</v>
      </c>
      <c r="B52" s="21" t="str">
        <f t="shared" si="3"/>
        <v>Finance</v>
      </c>
      <c r="C52" s="18" t="s">
        <v>142</v>
      </c>
      <c r="D52" s="21" t="str">
        <f>IF(I52="OBA Domain Level 0","",(IF(I52="OBA Function Level 1",G52,(INDEX(F:G,(MATCH(C52,F:F,0)),2)))))</f>
        <v>Procurement</v>
      </c>
      <c r="E52" s="21" t="str">
        <f t="shared" si="4"/>
        <v>Finance.Procurement</v>
      </c>
      <c r="F52" s="18" t="s">
        <v>142</v>
      </c>
      <c r="G52" s="18" t="s">
        <v>143</v>
      </c>
      <c r="H52" s="18" t="s">
        <v>144</v>
      </c>
      <c r="I52" s="18" t="s">
        <v>141</v>
      </c>
      <c r="J52" s="21" t="str">
        <f t="shared" si="5"/>
        <v xml:space="preserve"> CO1.2-Procurement</v>
      </c>
      <c r="K52" s="21" t="s">
        <v>476</v>
      </c>
      <c r="L52" s="21">
        <v>2</v>
      </c>
    </row>
    <row r="53" spans="1:12" ht="60" x14ac:dyDescent="0.25">
      <c r="A53" s="17" t="s">
        <v>125</v>
      </c>
      <c r="B53" s="20" t="str">
        <f t="shared" si="3"/>
        <v>Information Technology</v>
      </c>
      <c r="C53" s="17" t="str">
        <f>A53</f>
        <v>CO-02</v>
      </c>
      <c r="D53" s="20" t="str">
        <f>B53</f>
        <v>Information Technology</v>
      </c>
      <c r="E53" s="20" t="str">
        <f t="shared" si="4"/>
        <v>Information Technology</v>
      </c>
      <c r="F53" s="17" t="s">
        <v>125</v>
      </c>
      <c r="G53" s="17" t="s">
        <v>126</v>
      </c>
      <c r="H53" s="17" t="s">
        <v>127</v>
      </c>
      <c r="I53" s="17" t="s">
        <v>124</v>
      </c>
      <c r="J53" s="20" t="str">
        <f t="shared" si="5"/>
        <v>CO-02-Information Technology</v>
      </c>
      <c r="K53" s="20" t="s">
        <v>480</v>
      </c>
      <c r="L53" s="20">
        <v>2</v>
      </c>
    </row>
    <row r="54" spans="1:12" ht="30" x14ac:dyDescent="0.25">
      <c r="A54" s="18" t="s">
        <v>125</v>
      </c>
      <c r="B54" s="21" t="str">
        <f t="shared" si="3"/>
        <v>Information Technology</v>
      </c>
      <c r="C54" s="18" t="s">
        <v>145</v>
      </c>
      <c r="D54" s="21" t="str">
        <f t="shared" ref="D54:D61" si="6">IF(I54="OBA Domain Level 0","",(IF(I54="OBA Function Level 1",G54,(INDEX(F:G,(MATCH(C54,F:F,0)),2)))))</f>
        <v>Governance and Management</v>
      </c>
      <c r="E54" s="21" t="str">
        <f t="shared" si="4"/>
        <v>Information Technology.Governance and Management</v>
      </c>
      <c r="F54" s="18" t="s">
        <v>145</v>
      </c>
      <c r="G54" s="18" t="s">
        <v>146</v>
      </c>
      <c r="H54" s="18" t="s">
        <v>147</v>
      </c>
      <c r="I54" s="18" t="s">
        <v>141</v>
      </c>
      <c r="J54" s="21" t="str">
        <f t="shared" si="5"/>
        <v xml:space="preserve"> CO2.1-Governance and Management</v>
      </c>
      <c r="K54" s="21" t="s">
        <v>481</v>
      </c>
      <c r="L54" s="21">
        <v>2</v>
      </c>
    </row>
    <row r="55" spans="1:12" ht="30" x14ac:dyDescent="0.25">
      <c r="A55" s="18" t="s">
        <v>125</v>
      </c>
      <c r="B55" s="21" t="str">
        <f t="shared" si="3"/>
        <v>Information Technology</v>
      </c>
      <c r="C55" s="18" t="s">
        <v>148</v>
      </c>
      <c r="D55" s="21" t="str">
        <f t="shared" si="6"/>
        <v>Customer Relationships</v>
      </c>
      <c r="E55" s="21" t="str">
        <f t="shared" si="4"/>
        <v>Information Technology.Customer Relationships</v>
      </c>
      <c r="F55" s="18" t="s">
        <v>148</v>
      </c>
      <c r="G55" s="18" t="s">
        <v>149</v>
      </c>
      <c r="H55" s="18" t="s">
        <v>150</v>
      </c>
      <c r="I55" s="18" t="s">
        <v>141</v>
      </c>
      <c r="J55" s="21" t="str">
        <f t="shared" si="5"/>
        <v xml:space="preserve"> CO2.2-Customer Relationships</v>
      </c>
      <c r="K55" s="21" t="s">
        <v>482</v>
      </c>
      <c r="L55" s="21">
        <v>2</v>
      </c>
    </row>
    <row r="56" spans="1:12" ht="30" x14ac:dyDescent="0.25">
      <c r="A56" s="18" t="s">
        <v>125</v>
      </c>
      <c r="B56" s="21" t="str">
        <f t="shared" si="3"/>
        <v>Information Technology</v>
      </c>
      <c r="C56" s="18" t="s">
        <v>151</v>
      </c>
      <c r="D56" s="21" t="str">
        <f t="shared" si="6"/>
        <v>Strategy and Direction</v>
      </c>
      <c r="E56" s="21" t="str">
        <f t="shared" si="4"/>
        <v>Information Technology.Strategy and Direction</v>
      </c>
      <c r="F56" s="18" t="s">
        <v>151</v>
      </c>
      <c r="G56" s="18" t="s">
        <v>152</v>
      </c>
      <c r="H56" s="18" t="s">
        <v>153</v>
      </c>
      <c r="I56" s="18" t="s">
        <v>141</v>
      </c>
      <c r="J56" s="21" t="str">
        <f t="shared" si="5"/>
        <v xml:space="preserve"> CO2.3-Strategy and Direction</v>
      </c>
      <c r="K56" s="21" t="s">
        <v>483</v>
      </c>
      <c r="L56" s="21">
        <v>2</v>
      </c>
    </row>
    <row r="57" spans="1:12" ht="30" x14ac:dyDescent="0.25">
      <c r="A57" s="18" t="s">
        <v>125</v>
      </c>
      <c r="B57" s="21" t="str">
        <f t="shared" si="3"/>
        <v>Information Technology</v>
      </c>
      <c r="C57" s="18" t="s">
        <v>154</v>
      </c>
      <c r="D57" s="21" t="str">
        <f t="shared" si="6"/>
        <v>Design and Realization</v>
      </c>
      <c r="E57" s="21" t="str">
        <f t="shared" si="4"/>
        <v>Information Technology.Design and Realization</v>
      </c>
      <c r="F57" s="18" t="s">
        <v>154</v>
      </c>
      <c r="G57" s="18" t="s">
        <v>155</v>
      </c>
      <c r="H57" s="18" t="s">
        <v>156</v>
      </c>
      <c r="I57" s="18" t="s">
        <v>141</v>
      </c>
      <c r="J57" s="21" t="str">
        <f t="shared" si="5"/>
        <v xml:space="preserve"> CO2.4-Design and Realization</v>
      </c>
      <c r="K57" s="21" t="s">
        <v>484</v>
      </c>
      <c r="L57" s="21">
        <v>2</v>
      </c>
    </row>
    <row r="58" spans="1:12" ht="30" x14ac:dyDescent="0.25">
      <c r="A58" s="18" t="s">
        <v>125</v>
      </c>
      <c r="B58" s="21" t="str">
        <f t="shared" si="3"/>
        <v>Information Technology</v>
      </c>
      <c r="C58" s="18" t="s">
        <v>157</v>
      </c>
      <c r="D58" s="21" t="str">
        <f t="shared" si="6"/>
        <v>Transition</v>
      </c>
      <c r="E58" s="21" t="str">
        <f t="shared" si="4"/>
        <v>Information Technology.Transition</v>
      </c>
      <c r="F58" s="18" t="s">
        <v>157</v>
      </c>
      <c r="G58" s="18" t="s">
        <v>158</v>
      </c>
      <c r="H58" s="18" t="s">
        <v>159</v>
      </c>
      <c r="I58" s="18" t="s">
        <v>141</v>
      </c>
      <c r="J58" s="21" t="str">
        <f t="shared" si="5"/>
        <v xml:space="preserve"> CO2.5-Transition</v>
      </c>
      <c r="K58" s="21" t="s">
        <v>485</v>
      </c>
      <c r="L58" s="21">
        <v>2</v>
      </c>
    </row>
    <row r="59" spans="1:12" ht="30" x14ac:dyDescent="0.25">
      <c r="A59" s="18" t="s">
        <v>125</v>
      </c>
      <c r="B59" s="21" t="str">
        <f t="shared" si="3"/>
        <v>Information Technology</v>
      </c>
      <c r="C59" s="18" t="s">
        <v>160</v>
      </c>
      <c r="D59" s="21" t="str">
        <f t="shared" si="6"/>
        <v>Operations</v>
      </c>
      <c r="E59" s="21" t="str">
        <f t="shared" si="4"/>
        <v>Information Technology.Operations</v>
      </c>
      <c r="F59" s="18" t="s">
        <v>160</v>
      </c>
      <c r="G59" s="18" t="s">
        <v>161</v>
      </c>
      <c r="H59" s="18" t="s">
        <v>162</v>
      </c>
      <c r="I59" s="18" t="s">
        <v>141</v>
      </c>
      <c r="J59" s="21" t="str">
        <f t="shared" si="5"/>
        <v xml:space="preserve"> CO2.6-Operations</v>
      </c>
      <c r="K59" s="21" t="s">
        <v>486</v>
      </c>
      <c r="L59" s="21">
        <v>2</v>
      </c>
    </row>
    <row r="60" spans="1:12" ht="30" x14ac:dyDescent="0.25">
      <c r="A60" s="18" t="s">
        <v>125</v>
      </c>
      <c r="B60" s="21" t="str">
        <f t="shared" si="3"/>
        <v>Information Technology</v>
      </c>
      <c r="C60" s="18" t="s">
        <v>163</v>
      </c>
      <c r="D60" s="21" t="str">
        <f t="shared" si="6"/>
        <v>Resilience</v>
      </c>
      <c r="E60" s="21" t="str">
        <f t="shared" si="4"/>
        <v>Information Technology.Resilience</v>
      </c>
      <c r="F60" s="18" t="s">
        <v>163</v>
      </c>
      <c r="G60" s="18" t="s">
        <v>164</v>
      </c>
      <c r="H60" s="18" t="s">
        <v>165</v>
      </c>
      <c r="I60" s="18" t="s">
        <v>141</v>
      </c>
      <c r="J60" s="21" t="str">
        <f t="shared" si="5"/>
        <v xml:space="preserve"> CO2.7-Resilience</v>
      </c>
      <c r="K60" s="21" t="s">
        <v>487</v>
      </c>
      <c r="L60" s="21">
        <v>2</v>
      </c>
    </row>
    <row r="61" spans="1:12" ht="30" x14ac:dyDescent="0.25">
      <c r="A61" s="18" t="s">
        <v>125</v>
      </c>
      <c r="B61" s="21" t="str">
        <f t="shared" si="3"/>
        <v>Information Technology</v>
      </c>
      <c r="C61" s="18" t="s">
        <v>166</v>
      </c>
      <c r="D61" s="21" t="str">
        <f t="shared" si="6"/>
        <v>Administration</v>
      </c>
      <c r="E61" s="21" t="str">
        <f t="shared" si="4"/>
        <v>Information Technology.Administration</v>
      </c>
      <c r="F61" s="18" t="s">
        <v>166</v>
      </c>
      <c r="G61" s="18" t="s">
        <v>167</v>
      </c>
      <c r="H61" s="18" t="s">
        <v>168</v>
      </c>
      <c r="I61" s="18" t="s">
        <v>141</v>
      </c>
      <c r="J61" s="21" t="str">
        <f t="shared" si="5"/>
        <v xml:space="preserve"> CO2.8-Administration</v>
      </c>
      <c r="K61" s="21" t="s">
        <v>488</v>
      </c>
      <c r="L61" s="21">
        <v>2</v>
      </c>
    </row>
    <row r="62" spans="1:12" ht="315" x14ac:dyDescent="0.25">
      <c r="A62" s="17" t="s">
        <v>128</v>
      </c>
      <c r="B62" s="20" t="str">
        <f t="shared" si="3"/>
        <v>Analytics</v>
      </c>
      <c r="C62" s="17" t="str">
        <f>A62</f>
        <v>CO-03</v>
      </c>
      <c r="D62" s="20" t="str">
        <f>B62</f>
        <v>Analytics</v>
      </c>
      <c r="E62" s="20" t="str">
        <f t="shared" si="4"/>
        <v>Analytics</v>
      </c>
      <c r="F62" s="17" t="s">
        <v>128</v>
      </c>
      <c r="G62" s="17" t="s">
        <v>449</v>
      </c>
      <c r="H62" s="17" t="s">
        <v>129</v>
      </c>
      <c r="I62" s="17" t="s">
        <v>124</v>
      </c>
      <c r="J62" s="20" t="str">
        <f t="shared" si="5"/>
        <v>CO-03-Analytics</v>
      </c>
      <c r="K62" s="20" t="s">
        <v>552</v>
      </c>
      <c r="L62" s="20">
        <v>2</v>
      </c>
    </row>
    <row r="63" spans="1:12" ht="45" x14ac:dyDescent="0.25">
      <c r="A63" s="18" t="s">
        <v>128</v>
      </c>
      <c r="B63" s="21" t="str">
        <f t="shared" si="3"/>
        <v>Analytics</v>
      </c>
      <c r="C63" s="18" t="s">
        <v>169</v>
      </c>
      <c r="D63" s="21" t="str">
        <f t="shared" ref="D63:D74" si="7">IF(I63="OBA Domain Level 0","",(IF(I63="OBA Function Level 1",G63,(INDEX(F:G,(MATCH(C63,F:F,0)),2)))))</f>
        <v>Information Management (Level1)</v>
      </c>
      <c r="E63" s="21" t="str">
        <f t="shared" si="4"/>
        <v>Analytics.Information Management (Level1)</v>
      </c>
      <c r="F63" s="18" t="s">
        <v>169</v>
      </c>
      <c r="G63" s="18" t="s">
        <v>170</v>
      </c>
      <c r="H63" s="18" t="s">
        <v>171</v>
      </c>
      <c r="I63" s="18" t="s">
        <v>141</v>
      </c>
      <c r="J63" s="21" t="str">
        <f t="shared" si="5"/>
        <v xml:space="preserve"> CO3.0-Information Management (Level1)</v>
      </c>
      <c r="K63" s="21"/>
      <c r="L63" s="21">
        <v>2</v>
      </c>
    </row>
    <row r="64" spans="1:12" ht="30" x14ac:dyDescent="0.25">
      <c r="A64" s="18" t="s">
        <v>128</v>
      </c>
      <c r="B64" s="21" t="str">
        <f t="shared" si="3"/>
        <v>Analytics</v>
      </c>
      <c r="C64" s="18" t="s">
        <v>172</v>
      </c>
      <c r="D64" s="21" t="str">
        <f t="shared" si="7"/>
        <v>Consumer Analytics and Reporting</v>
      </c>
      <c r="E64" s="21" t="str">
        <f t="shared" si="4"/>
        <v>Analytics.Consumer Analytics and Reporting</v>
      </c>
      <c r="F64" s="18" t="s">
        <v>172</v>
      </c>
      <c r="G64" s="18" t="s">
        <v>173</v>
      </c>
      <c r="H64" s="18" t="s">
        <v>174</v>
      </c>
      <c r="I64" s="18" t="s">
        <v>141</v>
      </c>
      <c r="J64" s="21" t="str">
        <f t="shared" si="5"/>
        <v xml:space="preserve"> CO3.1-Consumer Analytics and Reporting</v>
      </c>
      <c r="K64" s="21"/>
      <c r="L64" s="21">
        <v>2</v>
      </c>
    </row>
    <row r="65" spans="1:12" ht="30" x14ac:dyDescent="0.25">
      <c r="A65" s="18" t="s">
        <v>128</v>
      </c>
      <c r="B65" s="21" t="str">
        <f t="shared" si="3"/>
        <v>Analytics</v>
      </c>
      <c r="C65" s="18" t="s">
        <v>175</v>
      </c>
      <c r="D65" s="21" t="str">
        <f t="shared" si="7"/>
        <v>Analytics Platform Management</v>
      </c>
      <c r="E65" s="21" t="str">
        <f t="shared" si="4"/>
        <v>Analytics.Analytics Platform Management</v>
      </c>
      <c r="F65" s="18" t="s">
        <v>175</v>
      </c>
      <c r="G65" s="18" t="s">
        <v>176</v>
      </c>
      <c r="H65" s="18" t="s">
        <v>177</v>
      </c>
      <c r="I65" s="18" t="s">
        <v>141</v>
      </c>
      <c r="J65" s="21" t="str">
        <f t="shared" si="5"/>
        <v xml:space="preserve"> CO3.10-Analytics Platform Management</v>
      </c>
      <c r="K65" s="21"/>
      <c r="L65" s="21">
        <v>2</v>
      </c>
    </row>
    <row r="66" spans="1:12" ht="30" x14ac:dyDescent="0.25">
      <c r="A66" s="18" t="s">
        <v>128</v>
      </c>
      <c r="B66" s="21" t="str">
        <f t="shared" ref="B66:B87" si="8">IF((ISBLANK(A66)),G66,(INDEX($F:$G,(MATCH(A66,F:F,0)),2)))</f>
        <v>Analytics</v>
      </c>
      <c r="C66" s="18" t="s">
        <v>178</v>
      </c>
      <c r="D66" s="21" t="str">
        <f t="shared" si="7"/>
        <v>Analytics Program Governance</v>
      </c>
      <c r="E66" s="21" t="str">
        <f t="shared" ref="E66:E87" si="9">IF(I66="OBA Domain Level 0",B66,(IF(I66="OBA Function Level 1",(CONCATENATE(B66,".",D66)),(CONCATENATE(B66,".",D66,".",G66)))))</f>
        <v>Analytics.Analytics Program Governance</v>
      </c>
      <c r="F66" s="18" t="s">
        <v>178</v>
      </c>
      <c r="G66" s="18" t="s">
        <v>179</v>
      </c>
      <c r="H66" s="18" t="s">
        <v>180</v>
      </c>
      <c r="I66" s="18" t="s">
        <v>141</v>
      </c>
      <c r="J66" s="21" t="str">
        <f t="shared" ref="J66:J87" si="10">IF(I66="OBA Domain Level 0",(CONCATENATE(C66,"-",D66)),(IF(I66="OBA Function Level 1",(CONCATENATE(" ", C66,"-",D66)),(CONCATENATE(" ", C66,"-",G66)))))</f>
        <v xml:space="preserve"> CO3.11-Analytics Program Governance</v>
      </c>
      <c r="K66" s="21"/>
      <c r="L66" s="21">
        <v>2</v>
      </c>
    </row>
    <row r="67" spans="1:12" ht="30" x14ac:dyDescent="0.25">
      <c r="A67" s="18" t="s">
        <v>128</v>
      </c>
      <c r="B67" s="21" t="str">
        <f t="shared" si="8"/>
        <v>Analytics</v>
      </c>
      <c r="C67" s="18" t="s">
        <v>181</v>
      </c>
      <c r="D67" s="21" t="str">
        <f t="shared" si="7"/>
        <v>Client Analytics and Reporting</v>
      </c>
      <c r="E67" s="21" t="str">
        <f t="shared" si="9"/>
        <v>Analytics.Client Analytics and Reporting</v>
      </c>
      <c r="F67" s="18" t="s">
        <v>181</v>
      </c>
      <c r="G67" s="18" t="s">
        <v>182</v>
      </c>
      <c r="H67" s="18" t="s">
        <v>183</v>
      </c>
      <c r="I67" s="18" t="s">
        <v>141</v>
      </c>
      <c r="J67" s="21" t="str">
        <f t="shared" si="10"/>
        <v xml:space="preserve"> CO3.2-Client Analytics and Reporting</v>
      </c>
      <c r="K67" s="21"/>
      <c r="L67" s="21">
        <v>2</v>
      </c>
    </row>
    <row r="68" spans="1:12" ht="30" x14ac:dyDescent="0.25">
      <c r="A68" s="18" t="s">
        <v>128</v>
      </c>
      <c r="B68" s="21" t="str">
        <f t="shared" si="8"/>
        <v>Analytics</v>
      </c>
      <c r="C68" s="18" t="s">
        <v>184</v>
      </c>
      <c r="D68" s="21" t="str">
        <f t="shared" si="7"/>
        <v>Provider Analytics and Reporting</v>
      </c>
      <c r="E68" s="21" t="str">
        <f t="shared" si="9"/>
        <v>Analytics.Provider Analytics and Reporting</v>
      </c>
      <c r="F68" s="18" t="s">
        <v>184</v>
      </c>
      <c r="G68" s="18" t="s">
        <v>185</v>
      </c>
      <c r="H68" s="18" t="s">
        <v>186</v>
      </c>
      <c r="I68" s="18" t="s">
        <v>141</v>
      </c>
      <c r="J68" s="21" t="str">
        <f t="shared" si="10"/>
        <v xml:space="preserve"> CO3.3-Provider Analytics and Reporting</v>
      </c>
      <c r="K68" s="21"/>
      <c r="L68" s="21">
        <v>2</v>
      </c>
    </row>
    <row r="69" spans="1:12" ht="30" x14ac:dyDescent="0.25">
      <c r="A69" s="18" t="s">
        <v>128</v>
      </c>
      <c r="B69" s="21" t="str">
        <f t="shared" si="8"/>
        <v>Analytics</v>
      </c>
      <c r="C69" s="18" t="s">
        <v>187</v>
      </c>
      <c r="D69" s="21" t="str">
        <f t="shared" si="7"/>
        <v>Financial Analytics and Reporting</v>
      </c>
      <c r="E69" s="21" t="str">
        <f t="shared" si="9"/>
        <v>Analytics.Financial Analytics and Reporting</v>
      </c>
      <c r="F69" s="18" t="s">
        <v>187</v>
      </c>
      <c r="G69" s="18" t="s">
        <v>188</v>
      </c>
      <c r="H69" s="18" t="s">
        <v>189</v>
      </c>
      <c r="I69" s="18" t="s">
        <v>141</v>
      </c>
      <c r="J69" s="21" t="str">
        <f t="shared" si="10"/>
        <v xml:space="preserve"> CO3.4-Financial Analytics and Reporting</v>
      </c>
      <c r="K69" s="21"/>
      <c r="L69" s="21">
        <v>2</v>
      </c>
    </row>
    <row r="70" spans="1:12" ht="30" x14ac:dyDescent="0.25">
      <c r="A70" s="18" t="s">
        <v>128</v>
      </c>
      <c r="B70" s="21" t="str">
        <f t="shared" si="8"/>
        <v>Analytics</v>
      </c>
      <c r="C70" s="18" t="s">
        <v>190</v>
      </c>
      <c r="D70" s="21" t="str">
        <f t="shared" si="7"/>
        <v>Revenue Analytics and Reporting</v>
      </c>
      <c r="E70" s="21" t="str">
        <f t="shared" si="9"/>
        <v>Analytics.Revenue Analytics and Reporting</v>
      </c>
      <c r="F70" s="18" t="s">
        <v>190</v>
      </c>
      <c r="G70" s="18" t="s">
        <v>191</v>
      </c>
      <c r="H70" s="18" t="s">
        <v>192</v>
      </c>
      <c r="I70" s="18" t="s">
        <v>141</v>
      </c>
      <c r="J70" s="21" t="str">
        <f t="shared" si="10"/>
        <v xml:space="preserve"> CO3.5-Revenue Analytics and Reporting</v>
      </c>
      <c r="K70" s="21"/>
      <c r="L70" s="21">
        <v>2</v>
      </c>
    </row>
    <row r="71" spans="1:12" ht="30" x14ac:dyDescent="0.25">
      <c r="A71" s="18" t="s">
        <v>128</v>
      </c>
      <c r="B71" s="21" t="str">
        <f t="shared" si="8"/>
        <v>Analytics</v>
      </c>
      <c r="C71" s="18" t="s">
        <v>193</v>
      </c>
      <c r="D71" s="21" t="str">
        <f t="shared" si="7"/>
        <v>Underwriting Analytics</v>
      </c>
      <c r="E71" s="21" t="str">
        <f t="shared" si="9"/>
        <v>Analytics.Underwriting Analytics</v>
      </c>
      <c r="F71" s="18" t="s">
        <v>193</v>
      </c>
      <c r="G71" s="18" t="s">
        <v>194</v>
      </c>
      <c r="H71" s="18" t="s">
        <v>195</v>
      </c>
      <c r="I71" s="18" t="s">
        <v>141</v>
      </c>
      <c r="J71" s="21" t="str">
        <f t="shared" si="10"/>
        <v xml:space="preserve"> CO3.6-Underwriting Analytics</v>
      </c>
      <c r="K71" s="21"/>
      <c r="L71" s="21">
        <v>2</v>
      </c>
    </row>
    <row r="72" spans="1:12" ht="66" customHeight="1" x14ac:dyDescent="0.25">
      <c r="A72" s="18" t="s">
        <v>128</v>
      </c>
      <c r="B72" s="21" t="str">
        <f t="shared" si="8"/>
        <v>Analytics</v>
      </c>
      <c r="C72" s="18" t="s">
        <v>196</v>
      </c>
      <c r="D72" s="21" t="str">
        <f t="shared" si="7"/>
        <v>Service Operations Analytics and Reporting</v>
      </c>
      <c r="E72" s="21" t="str">
        <f t="shared" si="9"/>
        <v>Analytics.Service Operations Analytics and Reporting</v>
      </c>
      <c r="F72" s="18" t="s">
        <v>196</v>
      </c>
      <c r="G72" s="18" t="s">
        <v>197</v>
      </c>
      <c r="H72" s="18" t="s">
        <v>198</v>
      </c>
      <c r="I72" s="18" t="s">
        <v>141</v>
      </c>
      <c r="J72" s="21" t="str">
        <f t="shared" si="10"/>
        <v xml:space="preserve"> CO3.7-Service Operations Analytics and Reporting</v>
      </c>
      <c r="K72" s="21"/>
      <c r="L72" s="21">
        <v>2</v>
      </c>
    </row>
    <row r="73" spans="1:12" ht="45" x14ac:dyDescent="0.25">
      <c r="A73" s="18" t="s">
        <v>128</v>
      </c>
      <c r="B73" s="21" t="str">
        <f t="shared" si="8"/>
        <v>Analytics</v>
      </c>
      <c r="C73" s="18" t="s">
        <v>199</v>
      </c>
      <c r="D73" s="21" t="str">
        <f t="shared" si="7"/>
        <v>Mandate and Regulatory Reporting</v>
      </c>
      <c r="E73" s="21" t="str">
        <f t="shared" si="9"/>
        <v>Analytics.Mandate and Regulatory Reporting</v>
      </c>
      <c r="F73" s="18" t="s">
        <v>199</v>
      </c>
      <c r="G73" s="18" t="s">
        <v>200</v>
      </c>
      <c r="H73" s="18" t="s">
        <v>201</v>
      </c>
      <c r="I73" s="18" t="s">
        <v>141</v>
      </c>
      <c r="J73" s="21" t="str">
        <f t="shared" si="10"/>
        <v xml:space="preserve"> CO3.8-Mandate and Regulatory Reporting</v>
      </c>
      <c r="K73" s="21"/>
      <c r="L73" s="21">
        <v>2</v>
      </c>
    </row>
    <row r="74" spans="1:12" ht="30" x14ac:dyDescent="0.25">
      <c r="A74" s="18" t="s">
        <v>128</v>
      </c>
      <c r="B74" s="21" t="str">
        <f t="shared" si="8"/>
        <v>Analytics</v>
      </c>
      <c r="C74" s="18" t="s">
        <v>202</v>
      </c>
      <c r="D74" s="21" t="str">
        <f t="shared" si="7"/>
        <v>Analytics Program Integrity</v>
      </c>
      <c r="E74" s="21" t="str">
        <f t="shared" si="9"/>
        <v>Analytics.Analytics Program Integrity</v>
      </c>
      <c r="F74" s="18" t="s">
        <v>202</v>
      </c>
      <c r="G74" s="18" t="s">
        <v>203</v>
      </c>
      <c r="H74" s="18" t="s">
        <v>204</v>
      </c>
      <c r="I74" s="18" t="s">
        <v>141</v>
      </c>
      <c r="J74" s="21" t="str">
        <f t="shared" si="10"/>
        <v xml:space="preserve"> CO3.9-Analytics Program Integrity</v>
      </c>
      <c r="K74" s="21"/>
      <c r="L74" s="21">
        <v>2</v>
      </c>
    </row>
    <row r="75" spans="1:12" ht="60" x14ac:dyDescent="0.25">
      <c r="A75" s="17" t="s">
        <v>130</v>
      </c>
      <c r="B75" s="20" t="str">
        <f t="shared" si="8"/>
        <v>Human Resources</v>
      </c>
      <c r="C75" s="17" t="str">
        <f>A75</f>
        <v>CO-04</v>
      </c>
      <c r="D75" s="20" t="str">
        <f>B75</f>
        <v>Human Resources</v>
      </c>
      <c r="E75" s="20" t="str">
        <f t="shared" si="9"/>
        <v>Human Resources</v>
      </c>
      <c r="F75" s="17" t="s">
        <v>130</v>
      </c>
      <c r="G75" s="17" t="s">
        <v>131</v>
      </c>
      <c r="H75" s="17" t="s">
        <v>132</v>
      </c>
      <c r="I75" s="17" t="s">
        <v>124</v>
      </c>
      <c r="J75" s="20" t="str">
        <f t="shared" si="10"/>
        <v>CO-04-Human Resources</v>
      </c>
      <c r="K75" s="20" t="s">
        <v>477</v>
      </c>
      <c r="L75" s="20">
        <v>2</v>
      </c>
    </row>
    <row r="76" spans="1:12" ht="30" x14ac:dyDescent="0.25">
      <c r="A76" s="18" t="s">
        <v>130</v>
      </c>
      <c r="B76" s="21" t="str">
        <f t="shared" si="8"/>
        <v>Human Resources</v>
      </c>
      <c r="C76" s="18" t="s">
        <v>205</v>
      </c>
      <c r="D76" s="21" t="str">
        <f>IF(I76="OBA Domain Level 0","",(IF(I76="OBA Function Level 1",G76,(INDEX(F:G,(MATCH(C76,F:F,0)),2)))))</f>
        <v>Talent Management</v>
      </c>
      <c r="E76" s="21" t="str">
        <f t="shared" si="9"/>
        <v>Human Resources.Talent Management</v>
      </c>
      <c r="F76" s="18" t="s">
        <v>205</v>
      </c>
      <c r="G76" s="18" t="s">
        <v>206</v>
      </c>
      <c r="H76" s="18" t="s">
        <v>207</v>
      </c>
      <c r="I76" s="18" t="s">
        <v>141</v>
      </c>
      <c r="J76" s="21" t="str">
        <f t="shared" si="10"/>
        <v xml:space="preserve"> CO4.1-Talent Management</v>
      </c>
      <c r="K76" s="21" t="s">
        <v>478</v>
      </c>
      <c r="L76" s="21">
        <v>2</v>
      </c>
    </row>
    <row r="77" spans="1:12" x14ac:dyDescent="0.25">
      <c r="A77" s="18" t="s">
        <v>130</v>
      </c>
      <c r="B77" s="21" t="str">
        <f t="shared" si="8"/>
        <v>Human Resources</v>
      </c>
      <c r="C77" s="18" t="s">
        <v>208</v>
      </c>
      <c r="D77" s="21" t="str">
        <f>IF(I77="OBA Domain Level 0","",(IF(I77="OBA Function Level 1",G77,(INDEX(F:G,(MATCH(C77,F:F,0)),2)))))</f>
        <v>HR Administration</v>
      </c>
      <c r="E77" s="21" t="str">
        <f t="shared" si="9"/>
        <v>Human Resources.HR Administration</v>
      </c>
      <c r="F77" s="18" t="s">
        <v>208</v>
      </c>
      <c r="G77" s="18" t="s">
        <v>209</v>
      </c>
      <c r="H77" s="18" t="s">
        <v>210</v>
      </c>
      <c r="I77" s="18" t="s">
        <v>141</v>
      </c>
      <c r="J77" s="21" t="str">
        <f t="shared" si="10"/>
        <v xml:space="preserve"> CO4.2-HR Administration</v>
      </c>
      <c r="K77" s="21" t="s">
        <v>479</v>
      </c>
      <c r="L77" s="21">
        <v>2</v>
      </c>
    </row>
    <row r="78" spans="1:12" ht="30" x14ac:dyDescent="0.25">
      <c r="A78" s="17" t="s">
        <v>133</v>
      </c>
      <c r="B78" s="20" t="str">
        <f t="shared" si="8"/>
        <v>Legal &amp; Compliance</v>
      </c>
      <c r="C78" s="17" t="str">
        <f>A78</f>
        <v>CO-05</v>
      </c>
      <c r="D78" s="20" t="str">
        <f>B78</f>
        <v>Legal &amp; Compliance</v>
      </c>
      <c r="E78" s="20" t="str">
        <f t="shared" si="9"/>
        <v>Legal &amp; Compliance</v>
      </c>
      <c r="F78" s="17" t="s">
        <v>133</v>
      </c>
      <c r="G78" s="17" t="s">
        <v>489</v>
      </c>
      <c r="H78" s="17" t="s">
        <v>134</v>
      </c>
      <c r="I78" s="17" t="s">
        <v>124</v>
      </c>
      <c r="J78" s="20" t="str">
        <f t="shared" si="10"/>
        <v>CO-05-Legal &amp; Compliance</v>
      </c>
      <c r="K78" s="20" t="s">
        <v>490</v>
      </c>
      <c r="L78" s="20">
        <v>2</v>
      </c>
    </row>
    <row r="79" spans="1:12" ht="45" x14ac:dyDescent="0.25">
      <c r="A79" s="18" t="s">
        <v>133</v>
      </c>
      <c r="B79" s="21" t="str">
        <f t="shared" si="8"/>
        <v>Legal &amp; Compliance</v>
      </c>
      <c r="C79" s="18" t="s">
        <v>211</v>
      </c>
      <c r="D79" s="21" t="str">
        <f>IF(I79="OBA Domain Level 0","",(IF(I79="OBA Function Level 1",G79,(INDEX(F:G,(MATCH(C79,F:F,0)),2)))))</f>
        <v>Legal Services</v>
      </c>
      <c r="E79" s="21" t="str">
        <f t="shared" si="9"/>
        <v>Legal &amp; Compliance.Legal Services</v>
      </c>
      <c r="F79" s="18" t="s">
        <v>211</v>
      </c>
      <c r="G79" s="18" t="s">
        <v>212</v>
      </c>
      <c r="H79" s="18" t="s">
        <v>213</v>
      </c>
      <c r="I79" s="18" t="s">
        <v>141</v>
      </c>
      <c r="J79" s="21" t="str">
        <f t="shared" si="10"/>
        <v xml:space="preserve"> CO5.1-Legal Services</v>
      </c>
      <c r="K79" s="21" t="s">
        <v>491</v>
      </c>
      <c r="L79" s="21">
        <v>2</v>
      </c>
    </row>
    <row r="80" spans="1:12" ht="60" x14ac:dyDescent="0.25">
      <c r="A80" s="18" t="s">
        <v>133</v>
      </c>
      <c r="B80" s="21" t="str">
        <f t="shared" si="8"/>
        <v>Legal &amp; Compliance</v>
      </c>
      <c r="C80" s="18" t="s">
        <v>214</v>
      </c>
      <c r="D80" s="21" t="str">
        <f>IF(I80="OBA Domain Level 0","",(IF(I80="OBA Function Level 1",G80,(INDEX(F:G,(MATCH(C80,F:F,0)),2)))))</f>
        <v>Compliance Management</v>
      </c>
      <c r="E80" s="21" t="str">
        <f t="shared" si="9"/>
        <v>Legal &amp; Compliance.Compliance Management</v>
      </c>
      <c r="F80" s="18" t="s">
        <v>214</v>
      </c>
      <c r="G80" s="18" t="s">
        <v>215</v>
      </c>
      <c r="H80" s="18" t="s">
        <v>216</v>
      </c>
      <c r="I80" s="18" t="s">
        <v>141</v>
      </c>
      <c r="J80" s="21" t="str">
        <f t="shared" si="10"/>
        <v xml:space="preserve"> CO5.2-Compliance Management</v>
      </c>
      <c r="K80" s="21" t="s">
        <v>492</v>
      </c>
      <c r="L80" s="21">
        <v>2</v>
      </c>
    </row>
    <row r="81" spans="1:12" x14ac:dyDescent="0.25">
      <c r="A81" s="18" t="s">
        <v>133</v>
      </c>
      <c r="B81" s="21" t="str">
        <f t="shared" si="8"/>
        <v>Legal &amp; Compliance</v>
      </c>
      <c r="C81" s="18" t="s">
        <v>217</v>
      </c>
      <c r="D81" s="21" t="str">
        <f>IF(I81="OBA Domain Level 0","",(IF(I81="OBA Function Level 1",G81,(INDEX(F:G,(MATCH(C81,F:F,0)),2)))))</f>
        <v>Internal Audit</v>
      </c>
      <c r="E81" s="21" t="str">
        <f t="shared" si="9"/>
        <v>Legal &amp; Compliance.Internal Audit</v>
      </c>
      <c r="F81" s="18" t="s">
        <v>217</v>
      </c>
      <c r="G81" s="18" t="s">
        <v>218</v>
      </c>
      <c r="H81" s="18" t="s">
        <v>219</v>
      </c>
      <c r="I81" s="18" t="s">
        <v>141</v>
      </c>
      <c r="J81" s="21" t="str">
        <f t="shared" si="10"/>
        <v xml:space="preserve"> CO5.3-Internal Audit</v>
      </c>
      <c r="K81" s="21"/>
      <c r="L81" s="21">
        <v>2</v>
      </c>
    </row>
    <row r="82" spans="1:12" x14ac:dyDescent="0.25">
      <c r="A82" s="18" t="s">
        <v>133</v>
      </c>
      <c r="B82" s="21" t="str">
        <f t="shared" si="8"/>
        <v>Legal &amp; Compliance</v>
      </c>
      <c r="C82" s="18" t="s">
        <v>217</v>
      </c>
      <c r="D82" s="21" t="str">
        <f>IF(I82="OBA Domain Level 0","",(IF(I82="OBA Function Level 1",G82,(INDEX(F:G,(MATCH(C82,F:F,0)),2)))))</f>
        <v>Internal Audit 5.3</v>
      </c>
      <c r="E82" s="21" t="str">
        <f t="shared" si="9"/>
        <v>Legal &amp; Compliance.Internal Audit 5.3</v>
      </c>
      <c r="F82" s="18" t="s">
        <v>217</v>
      </c>
      <c r="G82" s="18" t="s">
        <v>220</v>
      </c>
      <c r="H82" s="18" t="s">
        <v>221</v>
      </c>
      <c r="I82" s="18" t="s">
        <v>141</v>
      </c>
      <c r="J82" s="21" t="str">
        <f t="shared" si="10"/>
        <v xml:space="preserve"> CO5.3-Internal Audit 5.3</v>
      </c>
      <c r="K82" s="21"/>
      <c r="L82" s="21">
        <v>2</v>
      </c>
    </row>
    <row r="83" spans="1:12" ht="30" x14ac:dyDescent="0.25">
      <c r="A83" s="17" t="s">
        <v>135</v>
      </c>
      <c r="B83" s="20" t="str">
        <f t="shared" si="8"/>
        <v>Shared Business Functions</v>
      </c>
      <c r="C83" s="17" t="str">
        <f>A83</f>
        <v>CO-06</v>
      </c>
      <c r="D83" s="20" t="str">
        <f>B83</f>
        <v>Shared Business Functions</v>
      </c>
      <c r="E83" s="20" t="str">
        <f t="shared" si="9"/>
        <v>Shared Business Functions</v>
      </c>
      <c r="F83" s="17" t="s">
        <v>135</v>
      </c>
      <c r="G83" s="17" t="s">
        <v>136</v>
      </c>
      <c r="H83" s="17" t="s">
        <v>137</v>
      </c>
      <c r="I83" s="17" t="s">
        <v>124</v>
      </c>
      <c r="J83" s="20" t="str">
        <f t="shared" si="10"/>
        <v>CO-06-Shared Business Functions</v>
      </c>
      <c r="K83" s="20" t="s">
        <v>517</v>
      </c>
      <c r="L83" s="20">
        <v>2</v>
      </c>
    </row>
    <row r="84" spans="1:12" ht="30" x14ac:dyDescent="0.25">
      <c r="A84" s="18" t="s">
        <v>135</v>
      </c>
      <c r="B84" s="21" t="str">
        <f t="shared" si="8"/>
        <v>Shared Business Functions</v>
      </c>
      <c r="C84" s="18" t="s">
        <v>222</v>
      </c>
      <c r="D84" s="21" t="str">
        <f>IF(I84="OBA Domain Level 0","",(IF(I84="OBA Function Level 1",G84,(INDEX(F:G,(MATCH(C84,F:F,0)),2)))))</f>
        <v>Content Management</v>
      </c>
      <c r="E84" s="21" t="str">
        <f t="shared" si="9"/>
        <v>Shared Business Functions.Content Management</v>
      </c>
      <c r="F84" s="18" t="s">
        <v>222</v>
      </c>
      <c r="G84" s="18" t="s">
        <v>223</v>
      </c>
      <c r="H84" s="18" t="s">
        <v>224</v>
      </c>
      <c r="I84" s="18" t="s">
        <v>141</v>
      </c>
      <c r="J84" s="21" t="str">
        <f t="shared" si="10"/>
        <v xml:space="preserve"> CO6.1-Content Management</v>
      </c>
      <c r="K84" s="21" t="s">
        <v>518</v>
      </c>
      <c r="L84" s="21">
        <v>2</v>
      </c>
    </row>
    <row r="85" spans="1:12" ht="45" x14ac:dyDescent="0.25">
      <c r="A85" s="18" t="s">
        <v>135</v>
      </c>
      <c r="B85" s="21" t="str">
        <f t="shared" si="8"/>
        <v>Shared Business Functions</v>
      </c>
      <c r="C85" s="18" t="s">
        <v>225</v>
      </c>
      <c r="D85" s="21" t="str">
        <f>IF(I85="OBA Domain Level 0","",(IF(I85="OBA Function Level 1",G85,(INDEX(F:G,(MATCH(C85,F:F,0)),2)))))</f>
        <v>Constituent Correspondence and Services</v>
      </c>
      <c r="E85" s="21" t="str">
        <f t="shared" si="9"/>
        <v>Shared Business Functions.Constituent Correspondence and Services</v>
      </c>
      <c r="F85" s="18" t="s">
        <v>225</v>
      </c>
      <c r="G85" s="18" t="s">
        <v>226</v>
      </c>
      <c r="H85" s="18" t="s">
        <v>227</v>
      </c>
      <c r="I85" s="18" t="s">
        <v>141</v>
      </c>
      <c r="J85" s="21" t="str">
        <f t="shared" si="10"/>
        <v xml:space="preserve"> CO6.2-Constituent Correspondence and Services</v>
      </c>
      <c r="K85" s="21" t="s">
        <v>519</v>
      </c>
      <c r="L85" s="21">
        <v>2</v>
      </c>
    </row>
    <row r="86" spans="1:12" ht="30" x14ac:dyDescent="0.25">
      <c r="A86" s="18" t="s">
        <v>135</v>
      </c>
      <c r="B86" s="21" t="str">
        <f t="shared" si="8"/>
        <v>Shared Business Functions</v>
      </c>
      <c r="C86" s="18" t="s">
        <v>228</v>
      </c>
      <c r="D86" s="21" t="str">
        <f>IF(I86="OBA Domain Level 0","",(IF(I86="OBA Function Level 1",G86,(INDEX(F:G,(MATCH(C86,F:F,0)),2)))))</f>
        <v>Data Exchange</v>
      </c>
      <c r="E86" s="21" t="str">
        <f t="shared" si="9"/>
        <v>Shared Business Functions.Data Exchange</v>
      </c>
      <c r="F86" s="18" t="s">
        <v>228</v>
      </c>
      <c r="G86" s="18" t="s">
        <v>229</v>
      </c>
      <c r="H86" s="18" t="s">
        <v>230</v>
      </c>
      <c r="I86" s="18" t="s">
        <v>141</v>
      </c>
      <c r="J86" s="21" t="str">
        <f t="shared" si="10"/>
        <v xml:space="preserve"> CO6.3-Data Exchange</v>
      </c>
      <c r="K86" s="21" t="s">
        <v>520</v>
      </c>
      <c r="L86" s="21">
        <v>2</v>
      </c>
    </row>
    <row r="87" spans="1:12" ht="30" x14ac:dyDescent="0.25">
      <c r="A87" s="18" t="s">
        <v>135</v>
      </c>
      <c r="B87" s="21" t="str">
        <f t="shared" si="8"/>
        <v>Shared Business Functions</v>
      </c>
      <c r="C87" s="18" t="s">
        <v>231</v>
      </c>
      <c r="D87" s="21" t="str">
        <f>IF(I87="OBA Domain Level 0","",(IF(I87="OBA Function Level 1",G87,(INDEX(F:G,(MATCH(C87,F:F,0)),2)))))</f>
        <v>Associate Services</v>
      </c>
      <c r="E87" s="21" t="str">
        <f t="shared" si="9"/>
        <v>Shared Business Functions.Associate Services</v>
      </c>
      <c r="F87" s="18" t="s">
        <v>231</v>
      </c>
      <c r="G87" s="18" t="s">
        <v>232</v>
      </c>
      <c r="H87" s="18" t="s">
        <v>233</v>
      </c>
      <c r="I87" s="18" t="s">
        <v>141</v>
      </c>
      <c r="J87" s="21" t="str">
        <f t="shared" si="10"/>
        <v xml:space="preserve"> CO6.4-Associate Services</v>
      </c>
      <c r="K87" s="21" t="s">
        <v>521</v>
      </c>
      <c r="L87" s="21">
        <v>2</v>
      </c>
    </row>
  </sheetData>
  <autoFilter ref="F1:IR87">
    <sortState ref="F2:KN1506">
      <sortCondition ref="I1:I1506"/>
    </sortState>
  </autoFilter>
  <sortState ref="A2:L87">
    <sortCondition ref="L2:L87"/>
    <sortCondition ref="A2:A87"/>
    <sortCondition ref="B2:B87"/>
  </sortState>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0.249977111117893"/>
  </sheetPr>
  <dimension ref="A2:A3"/>
  <sheetViews>
    <sheetView workbookViewId="0"/>
  </sheetViews>
  <sheetFormatPr defaultRowHeight="15" x14ac:dyDescent="0.25"/>
  <cols>
    <col min="1" max="1" width="62" style="76" customWidth="1"/>
    <col min="2" max="16384" width="9.140625" style="76"/>
  </cols>
  <sheetData>
    <row r="2" spans="1:1" x14ac:dyDescent="0.25">
      <c r="A2" s="84" t="s">
        <v>553</v>
      </c>
    </row>
    <row r="3" spans="1:1" ht="240" x14ac:dyDescent="0.25">
      <c r="A3" s="22" t="s">
        <v>554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ropDownListsSheet">
    <tabColor theme="4" tint="0.59999389629810485"/>
  </sheetPr>
  <dimension ref="A1:I57"/>
  <sheetViews>
    <sheetView workbookViewId="0">
      <selection activeCell="B9" sqref="B9"/>
    </sheetView>
  </sheetViews>
  <sheetFormatPr defaultColWidth="29.5703125" defaultRowHeight="12.75" x14ac:dyDescent="0.25"/>
  <cols>
    <col min="1" max="1" width="29.5703125" style="35"/>
    <col min="2" max="2" width="12.140625" style="35" customWidth="1"/>
    <col min="3" max="3" width="16.28515625" style="36" customWidth="1"/>
    <col min="4" max="4" width="12" style="35" customWidth="1"/>
    <col min="5" max="16384" width="29.5703125" style="35"/>
  </cols>
  <sheetData>
    <row r="1" spans="1:9" s="38" customFormat="1" x14ac:dyDescent="0.25">
      <c r="A1" s="38" t="s">
        <v>532</v>
      </c>
      <c r="B1" s="38" t="s">
        <v>523</v>
      </c>
      <c r="C1" s="39" t="s">
        <v>531</v>
      </c>
      <c r="D1" s="38" t="s">
        <v>430</v>
      </c>
      <c r="E1" s="38" t="s">
        <v>431</v>
      </c>
      <c r="F1" s="38" t="s">
        <v>44</v>
      </c>
      <c r="G1" s="38" t="s">
        <v>45</v>
      </c>
      <c r="H1" s="38" t="s">
        <v>83</v>
      </c>
      <c r="I1" s="38" t="s">
        <v>87</v>
      </c>
    </row>
    <row r="2" spans="1:9" ht="51" x14ac:dyDescent="0.25">
      <c r="A2" s="35" t="s">
        <v>20</v>
      </c>
      <c r="B2" s="37" t="s">
        <v>527</v>
      </c>
      <c r="C2" s="36" t="s">
        <v>12</v>
      </c>
      <c r="D2" s="35" t="s">
        <v>374</v>
      </c>
      <c r="E2" s="35" t="s">
        <v>432</v>
      </c>
      <c r="F2" s="35" t="s">
        <v>46</v>
      </c>
      <c r="G2" s="35" t="s">
        <v>47</v>
      </c>
      <c r="H2" s="35" t="s">
        <v>86</v>
      </c>
      <c r="I2" s="35" t="s">
        <v>88</v>
      </c>
    </row>
    <row r="3" spans="1:9" ht="25.5" x14ac:dyDescent="0.25">
      <c r="A3" s="35" t="s">
        <v>21</v>
      </c>
      <c r="B3" s="37" t="s">
        <v>112</v>
      </c>
      <c r="C3" s="36" t="s">
        <v>13</v>
      </c>
      <c r="D3" s="35" t="s">
        <v>375</v>
      </c>
      <c r="E3" s="35" t="s">
        <v>433</v>
      </c>
      <c r="F3" s="35" t="s">
        <v>48</v>
      </c>
      <c r="G3" s="35" t="s">
        <v>49</v>
      </c>
      <c r="H3" s="35" t="s">
        <v>84</v>
      </c>
      <c r="I3" s="35" t="s">
        <v>89</v>
      </c>
    </row>
    <row r="4" spans="1:9" ht="25.5" x14ac:dyDescent="0.25">
      <c r="A4" s="35" t="s">
        <v>22</v>
      </c>
      <c r="B4" s="35" t="s">
        <v>108</v>
      </c>
      <c r="C4" s="36" t="s">
        <v>14</v>
      </c>
      <c r="D4" s="35" t="s">
        <v>376</v>
      </c>
      <c r="E4" s="35" t="s">
        <v>434</v>
      </c>
      <c r="F4" s="35" t="s">
        <v>50</v>
      </c>
      <c r="G4" s="35" t="s">
        <v>51</v>
      </c>
      <c r="H4" s="35" t="s">
        <v>93</v>
      </c>
      <c r="I4" s="35" t="s">
        <v>90</v>
      </c>
    </row>
    <row r="5" spans="1:9" ht="25.5" x14ac:dyDescent="0.25">
      <c r="A5" s="35" t="s">
        <v>23</v>
      </c>
      <c r="B5" s="35" t="s">
        <v>526</v>
      </c>
      <c r="C5" s="36" t="s">
        <v>15</v>
      </c>
      <c r="D5" s="35" t="s">
        <v>377</v>
      </c>
      <c r="E5" s="35" t="s">
        <v>435</v>
      </c>
      <c r="F5" s="35" t="s">
        <v>52</v>
      </c>
      <c r="G5" s="35" t="s">
        <v>53</v>
      </c>
      <c r="H5" s="35" t="s">
        <v>85</v>
      </c>
      <c r="I5" s="35" t="s">
        <v>91</v>
      </c>
    </row>
    <row r="6" spans="1:9" ht="25.5" x14ac:dyDescent="0.25">
      <c r="A6" s="35" t="s">
        <v>24</v>
      </c>
      <c r="C6" s="36" t="s">
        <v>16</v>
      </c>
      <c r="D6" s="35" t="s">
        <v>378</v>
      </c>
      <c r="E6" s="35" t="s">
        <v>436</v>
      </c>
      <c r="F6" s="35" t="s">
        <v>54</v>
      </c>
      <c r="G6" s="35" t="s">
        <v>55</v>
      </c>
      <c r="H6" s="35" t="s">
        <v>105</v>
      </c>
      <c r="I6" s="35" t="s">
        <v>92</v>
      </c>
    </row>
    <row r="7" spans="1:9" x14ac:dyDescent="0.25">
      <c r="A7" s="35" t="s">
        <v>25</v>
      </c>
      <c r="C7" s="36" t="s">
        <v>17</v>
      </c>
      <c r="D7" s="35" t="s">
        <v>379</v>
      </c>
      <c r="E7" s="35" t="s">
        <v>437</v>
      </c>
      <c r="F7" s="35" t="s">
        <v>56</v>
      </c>
      <c r="G7" s="35" t="s">
        <v>57</v>
      </c>
      <c r="I7" s="35" t="s">
        <v>93</v>
      </c>
    </row>
    <row r="8" spans="1:9" x14ac:dyDescent="0.25">
      <c r="C8" s="36" t="s">
        <v>18</v>
      </c>
      <c r="D8" s="35" t="s">
        <v>380</v>
      </c>
      <c r="E8" s="35" t="s">
        <v>438</v>
      </c>
      <c r="F8" s="35" t="s">
        <v>58</v>
      </c>
      <c r="I8" s="35" t="s">
        <v>94</v>
      </c>
    </row>
    <row r="9" spans="1:9" x14ac:dyDescent="0.25">
      <c r="C9" s="36" t="s">
        <v>19</v>
      </c>
      <c r="D9" s="35" t="s">
        <v>381</v>
      </c>
      <c r="E9" s="35" t="s">
        <v>439</v>
      </c>
      <c r="F9" s="35" t="s">
        <v>59</v>
      </c>
      <c r="I9" s="35" t="s">
        <v>95</v>
      </c>
    </row>
    <row r="10" spans="1:9" x14ac:dyDescent="0.25">
      <c r="D10" s="35" t="s">
        <v>382</v>
      </c>
      <c r="E10" s="35" t="s">
        <v>102</v>
      </c>
      <c r="F10" s="35" t="s">
        <v>60</v>
      </c>
      <c r="I10" s="35" t="s">
        <v>96</v>
      </c>
    </row>
    <row r="11" spans="1:9" x14ac:dyDescent="0.25">
      <c r="D11" s="35" t="s">
        <v>383</v>
      </c>
      <c r="E11" s="35" t="s">
        <v>440</v>
      </c>
      <c r="F11" s="35" t="s">
        <v>61</v>
      </c>
      <c r="I11" s="35" t="s">
        <v>97</v>
      </c>
    </row>
    <row r="12" spans="1:9" ht="25.5" x14ac:dyDescent="0.25">
      <c r="D12" s="35" t="s">
        <v>384</v>
      </c>
      <c r="E12" s="35" t="s">
        <v>441</v>
      </c>
      <c r="F12" s="35" t="s">
        <v>62</v>
      </c>
      <c r="I12" s="35" t="s">
        <v>98</v>
      </c>
    </row>
    <row r="13" spans="1:9" x14ac:dyDescent="0.25">
      <c r="D13" s="35" t="s">
        <v>385</v>
      </c>
      <c r="E13" s="35" t="s">
        <v>442</v>
      </c>
      <c r="F13" s="35" t="s">
        <v>63</v>
      </c>
      <c r="I13" s="35" t="s">
        <v>99</v>
      </c>
    </row>
    <row r="14" spans="1:9" x14ac:dyDescent="0.25">
      <c r="D14" s="35" t="s">
        <v>386</v>
      </c>
      <c r="E14" s="35" t="s">
        <v>443</v>
      </c>
      <c r="F14" s="35" t="s">
        <v>64</v>
      </c>
      <c r="I14" s="35" t="s">
        <v>100</v>
      </c>
    </row>
    <row r="15" spans="1:9" x14ac:dyDescent="0.25">
      <c r="D15" s="35" t="s">
        <v>387</v>
      </c>
      <c r="E15" s="35" t="s">
        <v>444</v>
      </c>
      <c r="F15" s="35" t="s">
        <v>65</v>
      </c>
      <c r="I15" s="35" t="s">
        <v>101</v>
      </c>
    </row>
    <row r="16" spans="1:9" x14ac:dyDescent="0.25">
      <c r="D16" s="35" t="s">
        <v>388</v>
      </c>
      <c r="E16" s="35" t="s">
        <v>445</v>
      </c>
      <c r="F16" s="35" t="s">
        <v>66</v>
      </c>
      <c r="I16" s="35" t="s">
        <v>102</v>
      </c>
    </row>
    <row r="17" spans="4:9" ht="25.5" x14ac:dyDescent="0.25">
      <c r="D17" s="35" t="s">
        <v>389</v>
      </c>
      <c r="E17" s="35" t="s">
        <v>446</v>
      </c>
      <c r="F17" s="35" t="s">
        <v>67</v>
      </c>
      <c r="I17" s="35" t="s">
        <v>103</v>
      </c>
    </row>
    <row r="18" spans="4:9" x14ac:dyDescent="0.25">
      <c r="D18" s="35" t="s">
        <v>390</v>
      </c>
      <c r="E18" s="35" t="s">
        <v>447</v>
      </c>
      <c r="F18" s="35" t="s">
        <v>68</v>
      </c>
      <c r="I18" s="35" t="s">
        <v>104</v>
      </c>
    </row>
    <row r="19" spans="4:9" x14ac:dyDescent="0.25">
      <c r="D19" s="35" t="s">
        <v>391</v>
      </c>
      <c r="F19" s="35" t="s">
        <v>69</v>
      </c>
      <c r="I19" s="35" t="s">
        <v>20</v>
      </c>
    </row>
    <row r="20" spans="4:9" x14ac:dyDescent="0.25">
      <c r="D20" s="35" t="s">
        <v>392</v>
      </c>
      <c r="F20" s="35" t="s">
        <v>70</v>
      </c>
    </row>
    <row r="21" spans="4:9" x14ac:dyDescent="0.25">
      <c r="D21" s="35" t="s">
        <v>393</v>
      </c>
    </row>
    <row r="22" spans="4:9" x14ac:dyDescent="0.25">
      <c r="D22" s="35" t="s">
        <v>394</v>
      </c>
    </row>
    <row r="23" spans="4:9" x14ac:dyDescent="0.25">
      <c r="D23" s="35" t="s">
        <v>395</v>
      </c>
    </row>
    <row r="24" spans="4:9" x14ac:dyDescent="0.25">
      <c r="D24" s="35" t="s">
        <v>396</v>
      </c>
    </row>
    <row r="25" spans="4:9" x14ac:dyDescent="0.25">
      <c r="D25" s="35" t="s">
        <v>397</v>
      </c>
    </row>
    <row r="26" spans="4:9" x14ac:dyDescent="0.25">
      <c r="D26" s="35" t="s">
        <v>398</v>
      </c>
    </row>
    <row r="27" spans="4:9" x14ac:dyDescent="0.25">
      <c r="D27" s="35" t="s">
        <v>399</v>
      </c>
    </row>
    <row r="28" spans="4:9" x14ac:dyDescent="0.25">
      <c r="D28" s="35" t="s">
        <v>400</v>
      </c>
    </row>
    <row r="29" spans="4:9" x14ac:dyDescent="0.25">
      <c r="D29" s="35" t="s">
        <v>401</v>
      </c>
    </row>
    <row r="30" spans="4:9" x14ac:dyDescent="0.25">
      <c r="D30" s="35" t="s">
        <v>402</v>
      </c>
    </row>
    <row r="31" spans="4:9" x14ac:dyDescent="0.25">
      <c r="D31" s="35" t="s">
        <v>403</v>
      </c>
    </row>
    <row r="32" spans="4:9" x14ac:dyDescent="0.25">
      <c r="D32" s="35" t="s">
        <v>404</v>
      </c>
    </row>
    <row r="33" spans="4:4" x14ac:dyDescent="0.25">
      <c r="D33" s="35" t="s">
        <v>405</v>
      </c>
    </row>
    <row r="34" spans="4:4" x14ac:dyDescent="0.25">
      <c r="D34" s="35" t="s">
        <v>406</v>
      </c>
    </row>
    <row r="35" spans="4:4" x14ac:dyDescent="0.25">
      <c r="D35" s="35" t="s">
        <v>407</v>
      </c>
    </row>
    <row r="36" spans="4:4" x14ac:dyDescent="0.25">
      <c r="D36" s="35" t="s">
        <v>408</v>
      </c>
    </row>
    <row r="37" spans="4:4" x14ac:dyDescent="0.25">
      <c r="D37" s="35" t="s">
        <v>409</v>
      </c>
    </row>
    <row r="38" spans="4:4" x14ac:dyDescent="0.25">
      <c r="D38" s="35" t="s">
        <v>410</v>
      </c>
    </row>
    <row r="39" spans="4:4" x14ac:dyDescent="0.25">
      <c r="D39" s="35" t="s">
        <v>411</v>
      </c>
    </row>
    <row r="40" spans="4:4" x14ac:dyDescent="0.25">
      <c r="D40" s="35" t="s">
        <v>412</v>
      </c>
    </row>
    <row r="41" spans="4:4" x14ac:dyDescent="0.25">
      <c r="D41" s="35" t="s">
        <v>413</v>
      </c>
    </row>
    <row r="42" spans="4:4" x14ac:dyDescent="0.25">
      <c r="D42" s="35" t="s">
        <v>414</v>
      </c>
    </row>
    <row r="43" spans="4:4" x14ac:dyDescent="0.25">
      <c r="D43" s="35" t="s">
        <v>415</v>
      </c>
    </row>
    <row r="44" spans="4:4" x14ac:dyDescent="0.25">
      <c r="D44" s="35" t="s">
        <v>416</v>
      </c>
    </row>
    <row r="45" spans="4:4" x14ac:dyDescent="0.25">
      <c r="D45" s="35" t="s">
        <v>417</v>
      </c>
    </row>
    <row r="46" spans="4:4" x14ac:dyDescent="0.25">
      <c r="D46" s="35" t="s">
        <v>418</v>
      </c>
    </row>
    <row r="47" spans="4:4" x14ac:dyDescent="0.25">
      <c r="D47" s="35" t="s">
        <v>419</v>
      </c>
    </row>
    <row r="48" spans="4:4" x14ac:dyDescent="0.25">
      <c r="D48" s="35" t="s">
        <v>420</v>
      </c>
    </row>
    <row r="49" spans="4:4" x14ac:dyDescent="0.25">
      <c r="D49" s="35" t="s">
        <v>421</v>
      </c>
    </row>
    <row r="50" spans="4:4" x14ac:dyDescent="0.25">
      <c r="D50" s="35" t="s">
        <v>422</v>
      </c>
    </row>
    <row r="51" spans="4:4" x14ac:dyDescent="0.25">
      <c r="D51" s="35" t="s">
        <v>423</v>
      </c>
    </row>
    <row r="52" spans="4:4" x14ac:dyDescent="0.25">
      <c r="D52" s="35" t="s">
        <v>424</v>
      </c>
    </row>
    <row r="53" spans="4:4" x14ac:dyDescent="0.25">
      <c r="D53" s="35" t="s">
        <v>425</v>
      </c>
    </row>
    <row r="54" spans="4:4" x14ac:dyDescent="0.25">
      <c r="D54" s="35" t="s">
        <v>426</v>
      </c>
    </row>
    <row r="55" spans="4:4" x14ac:dyDescent="0.25">
      <c r="D55" s="35" t="s">
        <v>427</v>
      </c>
    </row>
    <row r="56" spans="4:4" x14ac:dyDescent="0.25">
      <c r="D56" s="35" t="s">
        <v>428</v>
      </c>
    </row>
    <row r="57" spans="4:4" x14ac:dyDescent="0.25">
      <c r="D57" s="35" t="s">
        <v>429</v>
      </c>
    </row>
  </sheetData>
  <sortState ref="H2:H6">
    <sortCondition ref="H2"/>
  </sortState>
  <customSheetViews>
    <customSheetView guid="{0FDF722F-6BE5-40CC-8643-96FA7475187B}">
      <selection activeCell="S30" sqref="S30"/>
      <pageMargins left="0.7" right="0.7" top="0.75" bottom="0.75" header="0.3" footer="0.3"/>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hase xmlns="0e6c6d51-862c-41c1-bbbe-e37ae0c53545">Initiation</Phase>
    <Artifact_x0020_Function xmlns="0e6c6d51-862c-41c1-bbbe-e37ae0c5354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4FE5E80C8E1514F8CEF42708A5B3092" ma:contentTypeVersion="3" ma:contentTypeDescription="Create a new document." ma:contentTypeScope="" ma:versionID="fc5ae91964991c7f81ec00ea1dc5f811">
  <xsd:schema xmlns:xsd="http://www.w3.org/2001/XMLSchema" xmlns:xs="http://www.w3.org/2001/XMLSchema" xmlns:p="http://schemas.microsoft.com/office/2006/metadata/properties" xmlns:ns2="0e6c6d51-862c-41c1-bbbe-e37ae0c53545" targetNamespace="http://schemas.microsoft.com/office/2006/metadata/properties" ma:root="true" ma:fieldsID="2c473c0414bc28fcb400889d0bae58b5" ns2:_="">
    <xsd:import namespace="0e6c6d51-862c-41c1-bbbe-e37ae0c53545"/>
    <xsd:element name="properties">
      <xsd:complexType>
        <xsd:sequence>
          <xsd:element name="documentManagement">
            <xsd:complexType>
              <xsd:all>
                <xsd:element ref="ns2:Artifact_x0020_Function" minOccurs="0"/>
                <xsd:element ref="ns2:Phas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6c6d51-862c-41c1-bbbe-e37ae0c53545" elementFormDefault="qualified">
    <xsd:import namespace="http://schemas.microsoft.com/office/2006/documentManagement/types"/>
    <xsd:import namespace="http://schemas.microsoft.com/office/infopath/2007/PartnerControls"/>
    <xsd:element name="Artifact_x0020_Function" ma:index="8" nillable="true" ma:displayName="Artifact Functions" ma:format="Dropdown" ma:internalName="Artifact_x0020_Function">
      <xsd:simpleType>
        <xsd:restriction base="dms:Choice">
          <xsd:enumeration value="Project Management"/>
          <xsd:enumeration value="Requirements Management"/>
          <xsd:enumeration value="Technical Delivery"/>
          <xsd:enumeration value="Test Management"/>
          <xsd:enumeration value="Governance"/>
        </xsd:restriction>
      </xsd:simpleType>
    </xsd:element>
    <xsd:element name="Phase" ma:index="9" ma:displayName="Phases" ma:default="Initiation" ma:format="Dropdown" ma:internalName="Phase">
      <xsd:simpleType>
        <xsd:restriction base="dms:Choice">
          <xsd:enumeration value="Initiation"/>
          <xsd:enumeration value="Planning"/>
          <xsd:enumeration value="Execution"/>
          <xsd:enumeration value="Monitor &amp; Control"/>
          <xsd:enumeration value="Clos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102448-D6E9-42B7-9CA1-EA28AF1273D1}">
  <ds:schemaRefs>
    <ds:schemaRef ds:uri="http://schemas.microsoft.com/office/2006/documentManagement/types"/>
    <ds:schemaRef ds:uri="http://schemas.microsoft.com/office/2006/metadata/properties"/>
    <ds:schemaRef ds:uri="http://www.w3.org/XML/1998/namespace"/>
    <ds:schemaRef ds:uri="http://purl.org/dc/dcmitype/"/>
    <ds:schemaRef ds:uri="http://purl.org/dc/terms/"/>
    <ds:schemaRef ds:uri="http://schemas.openxmlformats.org/package/2006/metadata/core-properties"/>
    <ds:schemaRef ds:uri="b16dbb43-8574-44a4-9da0-b5f9d20d3ac7"/>
    <ds:schemaRef ds:uri="http://purl.org/dc/elements/1.1/"/>
  </ds:schemaRefs>
</ds:datastoreItem>
</file>

<file path=customXml/itemProps2.xml><?xml version="1.0" encoding="utf-8"?>
<ds:datastoreItem xmlns:ds="http://schemas.openxmlformats.org/officeDocument/2006/customXml" ds:itemID="{24B6969A-891E-4830-B54B-BF6A713BB74D}"/>
</file>

<file path=customXml/itemProps3.xml><?xml version="1.0" encoding="utf-8"?>
<ds:datastoreItem xmlns:ds="http://schemas.openxmlformats.org/officeDocument/2006/customXml" ds:itemID="{0BA7FBF2-6672-46E8-8ABD-B0456951FAD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About</vt:lpstr>
      <vt:lpstr>Title Page</vt:lpstr>
      <vt:lpstr>GADCR</vt:lpstr>
      <vt:lpstr>Flows</vt:lpstr>
      <vt:lpstr>EPICS</vt:lpstr>
      <vt:lpstr>Action Items</vt:lpstr>
      <vt:lpstr>Change Log</vt:lpstr>
      <vt:lpstr>IS_Instructions</vt:lpstr>
      <vt:lpstr>IS_Requirements Mapping</vt:lpstr>
      <vt:lpstr>IS_Impacted_Systems_List</vt:lpstr>
      <vt:lpstr>BRD Convert</vt:lpstr>
      <vt:lpstr>OBA</vt:lpstr>
      <vt:lpstr>Reporting Questions</vt:lpstr>
      <vt:lpstr>Drop Down Lists</vt:lpstr>
      <vt:lpstr>Critical_Guidelines_to_Follow_Title</vt:lpstr>
      <vt:lpstr>JIRA_Formatting_Help</vt:lpstr>
      <vt:lpstr>Known_Issues_Title</vt:lpstr>
      <vt:lpstr>Release_Notes_Title</vt:lpstr>
      <vt:lpstr>'Title Page'!terms</vt:lpstr>
    </vt:vector>
  </TitlesOfParts>
  <Company>The WellPoint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This is the business requirements document that replaces the BTRD 07/25/2017</dc:title>
  <dc:creator>Jeremy.Roever@Anthem.com</dc:creator>
  <cp:lastModifiedBy>Anthem Associate</cp:lastModifiedBy>
  <cp:lastPrinted>2013-03-20T21:34:44Z</cp:lastPrinted>
  <dcterms:created xsi:type="dcterms:W3CDTF">2012-10-18T18:21:51Z</dcterms:created>
  <dcterms:modified xsi:type="dcterms:W3CDTF">2019-02-25T19:52:51Z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0x01010074FE5E80C8E1514F8CEF42708A5B3092</vt:lpwstr>
  </property>
</Properties>
</file>